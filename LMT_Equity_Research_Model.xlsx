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gautamprasad/Desktop/masters/sem 3/financial analysis/finalllll/"/>
    </mc:Choice>
  </mc:AlternateContent>
  <xr:revisionPtr revIDLastSave="0" documentId="8_{C733AF8D-855F-3145-B50B-1DBF8A7645F0}" xr6:coauthVersionLast="45" xr6:coauthVersionMax="45" xr10:uidLastSave="{00000000-0000-0000-0000-000000000000}"/>
  <bookViews>
    <workbookView xWindow="0" yWindow="0" windowWidth="28800" windowHeight="18000" tabRatio="500" activeTab="7" xr2:uid="{00000000-000D-0000-FFFF-FFFF00000000}"/>
  </bookViews>
  <sheets>
    <sheet name="Cover" sheetId="1" r:id="rId1"/>
    <sheet name="Income Statement" sheetId="2" r:id="rId2"/>
    <sheet name="Balance Sheet" sheetId="3" r:id="rId3"/>
    <sheet name="Efficiency &amp; Cash Flow" sheetId="4" r:id="rId4"/>
    <sheet name="Ratio Analysis" sheetId="5" r:id="rId5"/>
    <sheet name="DuPont Analysis" sheetId="6" r:id="rId6"/>
    <sheet name="Red Flags Analysis" sheetId="7" r:id="rId7"/>
    <sheet name="Peer Comparison" sheetId="8" r:id="rId8"/>
    <sheet name="IFRS vs GAA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4" l="1"/>
  <c r="F8" i="4"/>
  <c r="D8" i="4"/>
  <c r="K8" i="4" s="1"/>
  <c r="D17" i="4"/>
  <c r="E17" i="4"/>
  <c r="F17" i="4"/>
  <c r="H32" i="2"/>
  <c r="I32" i="2"/>
  <c r="I28" i="2"/>
  <c r="H28" i="2"/>
  <c r="I20" i="2"/>
  <c r="I19" i="2"/>
  <c r="H20" i="2"/>
  <c r="H19" i="2"/>
  <c r="I13" i="2"/>
  <c r="H13" i="2"/>
  <c r="G15" i="8"/>
  <c r="G14" i="8"/>
  <c r="G13" i="8"/>
  <c r="G12" i="8"/>
  <c r="G11" i="8"/>
  <c r="G10" i="8"/>
  <c r="G9" i="8"/>
  <c r="G8" i="8"/>
  <c r="G7" i="8"/>
  <c r="G6" i="8"/>
  <c r="E16" i="7"/>
  <c r="D16" i="7"/>
  <c r="F13" i="7"/>
  <c r="E13" i="7"/>
  <c r="D13" i="7"/>
  <c r="E7" i="7"/>
  <c r="D7" i="7"/>
  <c r="F29" i="5"/>
  <c r="F30" i="5" s="1"/>
  <c r="E29" i="5"/>
  <c r="E30" i="5" s="1"/>
  <c r="D29" i="5"/>
  <c r="D30" i="5" s="1"/>
  <c r="F37" i="4"/>
  <c r="E37" i="4"/>
  <c r="D37" i="4"/>
  <c r="F36" i="4"/>
  <c r="E36" i="4"/>
  <c r="D36" i="4"/>
  <c r="F35" i="4"/>
  <c r="E35" i="4"/>
  <c r="D35" i="4"/>
  <c r="F25" i="4"/>
  <c r="E25" i="4"/>
  <c r="D25" i="4"/>
  <c r="F20" i="4"/>
  <c r="E20" i="4"/>
  <c r="D20" i="4"/>
  <c r="C17" i="4"/>
  <c r="F10" i="4"/>
  <c r="M6" i="4" s="1"/>
  <c r="E10" i="4"/>
  <c r="M7" i="4" s="1"/>
  <c r="D10" i="4"/>
  <c r="M8" i="4" s="1"/>
  <c r="K6" i="4"/>
  <c r="D58" i="3"/>
  <c r="Z17" i="3"/>
  <c r="Y17" i="3"/>
  <c r="X17" i="3"/>
  <c r="Z16" i="3"/>
  <c r="Y16" i="3"/>
  <c r="X16" i="3"/>
  <c r="Z15" i="3"/>
  <c r="Y15" i="3"/>
  <c r="X15" i="3"/>
  <c r="S17" i="3"/>
  <c r="R17" i="3"/>
  <c r="S16" i="3"/>
  <c r="R16" i="3"/>
  <c r="S15" i="3"/>
  <c r="R15" i="3"/>
  <c r="F46" i="3"/>
  <c r="E46" i="3"/>
  <c r="Q15" i="3" s="1"/>
  <c r="D46" i="3"/>
  <c r="C46" i="3"/>
  <c r="D20" i="5" s="1"/>
  <c r="F36" i="3"/>
  <c r="E36" i="3"/>
  <c r="F17" i="5" s="1"/>
  <c r="D36" i="3"/>
  <c r="E30" i="4" s="1"/>
  <c r="C36" i="3"/>
  <c r="D30" i="4" s="1"/>
  <c r="F30" i="3"/>
  <c r="E30" i="3"/>
  <c r="D30" i="3"/>
  <c r="C30" i="3"/>
  <c r="F20" i="3"/>
  <c r="E20" i="3"/>
  <c r="D20" i="3"/>
  <c r="C20" i="3"/>
  <c r="D29" i="4" s="1"/>
  <c r="F13" i="3"/>
  <c r="F22" i="3" s="1"/>
  <c r="E13" i="3"/>
  <c r="D13" i="3"/>
  <c r="C13" i="3"/>
  <c r="C42" i="2"/>
  <c r="F31" i="2"/>
  <c r="F22" i="2"/>
  <c r="E22" i="2"/>
  <c r="O22" i="2" s="1"/>
  <c r="D22" i="2"/>
  <c r="N22" i="2" s="1"/>
  <c r="C22" i="2"/>
  <c r="M22" i="2" s="1"/>
  <c r="F15" i="2"/>
  <c r="F24" i="2" s="1"/>
  <c r="F25" i="2" s="1"/>
  <c r="E15" i="2"/>
  <c r="O15" i="2" s="1"/>
  <c r="D15" i="2"/>
  <c r="N15" i="2" s="1"/>
  <c r="C15" i="2"/>
  <c r="M15" i="2" s="1"/>
  <c r="F10" i="2"/>
  <c r="E10" i="2"/>
  <c r="F27" i="5" s="1"/>
  <c r="F28" i="5" s="1"/>
  <c r="D10" i="2"/>
  <c r="N13" i="2" s="1"/>
  <c r="C10" i="2"/>
  <c r="M19" i="2" s="1"/>
  <c r="H36" i="3" l="1"/>
  <c r="D17" i="5"/>
  <c r="H20" i="3"/>
  <c r="D38" i="3"/>
  <c r="D15" i="5"/>
  <c r="D22" i="3"/>
  <c r="I46" i="3" s="1"/>
  <c r="D16" i="5"/>
  <c r="F58" i="3"/>
  <c r="F30" i="4"/>
  <c r="C38" i="3"/>
  <c r="F20" i="5"/>
  <c r="Q17" i="3"/>
  <c r="D31" i="4"/>
  <c r="D32" i="4" s="1"/>
  <c r="E38" i="4"/>
  <c r="M28" i="2"/>
  <c r="O19" i="2"/>
  <c r="M9" i="2"/>
  <c r="H10" i="2"/>
  <c r="O28" i="2"/>
  <c r="N21" i="2"/>
  <c r="N19" i="2"/>
  <c r="O9" i="2"/>
  <c r="H15" i="2"/>
  <c r="M32" i="2"/>
  <c r="N28" i="2"/>
  <c r="M21" i="2"/>
  <c r="N9" i="2"/>
  <c r="I15" i="2"/>
  <c r="E9" i="4"/>
  <c r="L7" i="4" s="1"/>
  <c r="O32" i="2"/>
  <c r="O21" i="2"/>
  <c r="M8" i="2"/>
  <c r="D9" i="4"/>
  <c r="L8" i="4" s="1"/>
  <c r="F9" i="4"/>
  <c r="L6" i="4" s="1"/>
  <c r="D27" i="5"/>
  <c r="D28" i="5" s="1"/>
  <c r="D23" i="4"/>
  <c r="N32" i="2"/>
  <c r="M20" i="2"/>
  <c r="O8" i="2"/>
  <c r="O20" i="2"/>
  <c r="M13" i="2"/>
  <c r="N8" i="2"/>
  <c r="N20" i="2"/>
  <c r="O13" i="2"/>
  <c r="I10" i="2"/>
  <c r="F38" i="4"/>
  <c r="D38" i="4"/>
  <c r="D44" i="2"/>
  <c r="D7" i="5"/>
  <c r="D43" i="2"/>
  <c r="D24" i="2"/>
  <c r="N24" i="2" s="1"/>
  <c r="D16" i="2"/>
  <c r="E7" i="5"/>
  <c r="F33" i="2"/>
  <c r="F35" i="2"/>
  <c r="D42" i="2"/>
  <c r="E24" i="2"/>
  <c r="O24" i="2" s="1"/>
  <c r="E16" i="2"/>
  <c r="F7" i="5"/>
  <c r="C24" i="2"/>
  <c r="E15" i="5"/>
  <c r="E29" i="4"/>
  <c r="E31" i="4" s="1"/>
  <c r="E32" i="4" s="1"/>
  <c r="E16" i="5"/>
  <c r="E61" i="3"/>
  <c r="AA16" i="3"/>
  <c r="E38" i="3"/>
  <c r="C16" i="2"/>
  <c r="F38" i="3"/>
  <c r="T16" i="3"/>
  <c r="D48" i="3"/>
  <c r="E57" i="3"/>
  <c r="F15" i="5"/>
  <c r="F16" i="5"/>
  <c r="AA15" i="3"/>
  <c r="F29" i="4"/>
  <c r="D59" i="3"/>
  <c r="D6" i="7"/>
  <c r="D26" i="4"/>
  <c r="D26" i="5"/>
  <c r="E27" i="5"/>
  <c r="E28" i="5" s="1"/>
  <c r="E23" i="4"/>
  <c r="E59" i="3"/>
  <c r="C43" i="2"/>
  <c r="E6" i="7"/>
  <c r="E26" i="4"/>
  <c r="E60" i="3"/>
  <c r="E17" i="5"/>
  <c r="C44" i="2"/>
  <c r="C48" i="3"/>
  <c r="E20" i="5"/>
  <c r="E58" i="3"/>
  <c r="Q16" i="3"/>
  <c r="K7" i="4"/>
  <c r="E22" i="3"/>
  <c r="F23" i="4"/>
  <c r="AA17" i="3"/>
  <c r="F26" i="4"/>
  <c r="F16" i="2"/>
  <c r="C22" i="3"/>
  <c r="F59" i="3"/>
  <c r="D61" i="3"/>
  <c r="J34" i="3" l="1"/>
  <c r="J33" i="3"/>
  <c r="J28" i="3"/>
  <c r="J10" i="3"/>
  <c r="J19" i="3"/>
  <c r="J13" i="3"/>
  <c r="J17" i="3"/>
  <c r="J27" i="3"/>
  <c r="J16" i="3"/>
  <c r="J20" i="3"/>
  <c r="J9" i="3"/>
  <c r="J11" i="3"/>
  <c r="J12" i="3"/>
  <c r="J29" i="3"/>
  <c r="J35" i="3"/>
  <c r="J18" i="3"/>
  <c r="J36" i="3"/>
  <c r="I30" i="3"/>
  <c r="I17" i="3"/>
  <c r="I11" i="3"/>
  <c r="I16" i="3"/>
  <c r="I33" i="3"/>
  <c r="I12" i="3"/>
  <c r="I9" i="3"/>
  <c r="I29" i="3"/>
  <c r="I34" i="3"/>
  <c r="I35" i="3"/>
  <c r="I18" i="3"/>
  <c r="I19" i="3"/>
  <c r="I28" i="3"/>
  <c r="I27" i="3"/>
  <c r="I10" i="3"/>
  <c r="I20" i="3"/>
  <c r="D9" i="6"/>
  <c r="J38" i="3"/>
  <c r="H38" i="3"/>
  <c r="I38" i="3"/>
  <c r="I13" i="3"/>
  <c r="I36" i="3"/>
  <c r="D57" i="3"/>
  <c r="H17" i="3"/>
  <c r="H10" i="3"/>
  <c r="H12" i="3"/>
  <c r="H35" i="3"/>
  <c r="H33" i="3"/>
  <c r="H18" i="3"/>
  <c r="H28" i="3"/>
  <c r="H19" i="3"/>
  <c r="H34" i="3"/>
  <c r="H13" i="3"/>
  <c r="H9" i="3"/>
  <c r="H16" i="3"/>
  <c r="H29" i="3"/>
  <c r="H27" i="3"/>
  <c r="H11" i="3"/>
  <c r="J46" i="3"/>
  <c r="J30" i="3"/>
  <c r="H46" i="3"/>
  <c r="H30" i="3"/>
  <c r="F31" i="4"/>
  <c r="F32" i="4" s="1"/>
  <c r="T17" i="3"/>
  <c r="E21" i="5"/>
  <c r="F11" i="4"/>
  <c r="N6" i="4" s="1"/>
  <c r="I24" i="2"/>
  <c r="M24" i="2"/>
  <c r="H24" i="2"/>
  <c r="E11" i="4"/>
  <c r="N7" i="4" s="1"/>
  <c r="D11" i="4"/>
  <c r="N8" i="4" s="1"/>
  <c r="D10" i="7"/>
  <c r="F22" i="5"/>
  <c r="F8" i="5"/>
  <c r="E31" i="2"/>
  <c r="O31" i="2" s="1"/>
  <c r="E25" i="2"/>
  <c r="E42" i="2"/>
  <c r="F12" i="5"/>
  <c r="E8" i="5"/>
  <c r="E12" i="5"/>
  <c r="D25" i="2"/>
  <c r="D31" i="2"/>
  <c r="N31" i="2" s="1"/>
  <c r="E43" i="2"/>
  <c r="E22" i="5"/>
  <c r="F21" i="5"/>
  <c r="F10" i="6"/>
  <c r="F23" i="5"/>
  <c r="F7" i="4"/>
  <c r="F26" i="5"/>
  <c r="F57" i="3"/>
  <c r="E48" i="3"/>
  <c r="T15" i="3"/>
  <c r="E26" i="5"/>
  <c r="E23" i="5"/>
  <c r="E9" i="6"/>
  <c r="E10" i="6"/>
  <c r="F36" i="2"/>
  <c r="D8" i="5"/>
  <c r="D12" i="5"/>
  <c r="C25" i="2"/>
  <c r="E44" i="2"/>
  <c r="C31" i="2"/>
  <c r="D22" i="5"/>
  <c r="F9" i="6"/>
  <c r="E7" i="4"/>
  <c r="F48" i="3"/>
  <c r="F60" i="3"/>
  <c r="F61" i="3"/>
  <c r="C50" i="2"/>
  <c r="D10" i="6"/>
  <c r="D23" i="5"/>
  <c r="D21" i="5"/>
  <c r="D60" i="3"/>
  <c r="D7" i="4"/>
  <c r="C48" i="2"/>
  <c r="C49" i="2"/>
  <c r="H31" i="2" l="1"/>
  <c r="M31" i="2"/>
  <c r="I31" i="2"/>
  <c r="D48" i="2"/>
  <c r="D35" i="2"/>
  <c r="N35" i="2" s="1"/>
  <c r="D33" i="2"/>
  <c r="E35" i="2"/>
  <c r="O35" i="2" s="1"/>
  <c r="E33" i="2"/>
  <c r="C35" i="2"/>
  <c r="C33" i="2"/>
  <c r="D49" i="2"/>
  <c r="D50" i="2"/>
  <c r="I35" i="2" l="1"/>
  <c r="M35" i="2"/>
  <c r="H35" i="2"/>
  <c r="F12" i="6"/>
  <c r="F10" i="5"/>
  <c r="F19" i="7"/>
  <c r="F21" i="7" s="1"/>
  <c r="F8" i="6"/>
  <c r="F11" i="6" s="1"/>
  <c r="F9" i="5"/>
  <c r="F42" i="2"/>
  <c r="F11" i="5"/>
  <c r="E36" i="2"/>
  <c r="E48" i="2" s="1"/>
  <c r="E12" i="6"/>
  <c r="E19" i="7"/>
  <c r="E21" i="7" s="1"/>
  <c r="D36" i="2"/>
  <c r="E11" i="5"/>
  <c r="E8" i="6"/>
  <c r="E11" i="6" s="1"/>
  <c r="E9" i="5"/>
  <c r="F43" i="2"/>
  <c r="E10" i="5"/>
  <c r="D11" i="5"/>
  <c r="D12" i="6"/>
  <c r="F44" i="2"/>
  <c r="D19" i="7"/>
  <c r="D21" i="7" s="1"/>
  <c r="C36" i="2"/>
  <c r="D8" i="6"/>
  <c r="D11" i="6" s="1"/>
  <c r="D9" i="5"/>
  <c r="D10" i="5"/>
  <c r="E49" i="2" l="1"/>
  <c r="M26" i="4"/>
  <c r="F19" i="4"/>
  <c r="F24" i="4"/>
  <c r="E24" i="4"/>
  <c r="E19" i="4"/>
  <c r="M27" i="4"/>
  <c r="E50" i="2"/>
  <c r="D24" i="4"/>
  <c r="D19" i="4"/>
  <c r="M28" i="4"/>
</calcChain>
</file>

<file path=xl/sharedStrings.xml><?xml version="1.0" encoding="utf-8"?>
<sst xmlns="http://schemas.openxmlformats.org/spreadsheetml/2006/main" count="594" uniqueCount="476">
  <si>
    <t>LOCKHEED MARTIN CORPORATION</t>
  </si>
  <si>
    <t>NYSE: LMT | Aerospace &amp; Defense</t>
  </si>
  <si>
    <t>COMPREHENSIVE FINANCIAL ANALYSIS</t>
  </si>
  <si>
    <t>Fiscal Years 2022 - 2024 | CFA Framework Analysis</t>
  </si>
  <si>
    <t>COMPANY PROFILE</t>
  </si>
  <si>
    <t>ANALYSIS FRAMEWORK</t>
  </si>
  <si>
    <t>Headquarters</t>
  </si>
  <si>
    <t>Bethesda, Maryland, USA</t>
  </si>
  <si>
    <t>Phase 1</t>
  </si>
  <si>
    <t>Purpose &amp; Context Definition</t>
  </si>
  <si>
    <t>Industry</t>
  </si>
  <si>
    <t>Aerospace &amp; Defense</t>
  </si>
  <si>
    <t>Phase 2</t>
  </si>
  <si>
    <t>Data Collection &amp; Validation</t>
  </si>
  <si>
    <t>Employees</t>
  </si>
  <si>
    <t>~122,000</t>
  </si>
  <si>
    <t>Phase 3</t>
  </si>
  <si>
    <t>Ratio Analysis &amp; Processing</t>
  </si>
  <si>
    <t>Accounting Standard</t>
  </si>
  <si>
    <t>US GAAP</t>
  </si>
  <si>
    <t>Phase 4</t>
  </si>
  <si>
    <t>Trend &amp; Peer Comparison</t>
  </si>
  <si>
    <t>Fiscal Year End</t>
  </si>
  <si>
    <t>December 31</t>
  </si>
  <si>
    <t>Phase 5</t>
  </si>
  <si>
    <t>Red Flags &amp; Quality Assessment</t>
  </si>
  <si>
    <t>Auditor</t>
  </si>
  <si>
    <t>Ernst &amp; Young LLP</t>
  </si>
  <si>
    <t>Phase 6</t>
  </si>
  <si>
    <t>Conclusions &amp; Recommendations</t>
  </si>
  <si>
    <t>Market Cap (2024)</t>
  </si>
  <si>
    <t>~$120 Billion</t>
  </si>
  <si>
    <t>Phase 7</t>
  </si>
  <si>
    <t>Follow-Up Monitoring</t>
  </si>
  <si>
    <t>DATA SOURCES (APA 7th Edition)</t>
  </si>
  <si>
    <t>• Lockheed Martin Corporation. (2025). Form 10-K Annual Report FY2024. SEC EDGAR.</t>
  </si>
  <si>
    <t>• Lockheed Martin Corporation. (2024). Form 10-K Annual Report FY2023. SEC EDGAR.</t>
  </si>
  <si>
    <t>• Lockheed Martin Corporation. (2023). Form 10-K Annual Report FY2022. SEC EDGAR.</t>
  </si>
  <si>
    <t>• CFA Institute. (2020). International Financial Statement Analysis (4th ed.). Wiley.</t>
  </si>
  <si>
    <t>CONSOLIDATED INCOME STATEMENT</t>
  </si>
  <si>
    <t>All figures in USD Millions | Source: Form 10-K</t>
  </si>
  <si>
    <t>Common Size (% of Revenue)</t>
  </si>
  <si>
    <t>Line Item</t>
  </si>
  <si>
    <t>2024</t>
  </si>
  <si>
    <t>2023</t>
  </si>
  <si>
    <t>2022</t>
  </si>
  <si>
    <t>2021</t>
  </si>
  <si>
    <t>YoY %</t>
  </si>
  <si>
    <t>CAGR</t>
  </si>
  <si>
    <t>REVENUE</t>
  </si>
  <si>
    <t>Year</t>
  </si>
  <si>
    <t>Gross Margin</t>
  </si>
  <si>
    <t>EBIT Margin</t>
  </si>
  <si>
    <t>Net Margin</t>
  </si>
  <si>
    <t>Net Sales Revenue</t>
  </si>
  <si>
    <t>Primary revenue stream - defense contracts</t>
  </si>
  <si>
    <t>Other Operating Revenue</t>
  </si>
  <si>
    <t>Minor; monitor for unusual spikes</t>
  </si>
  <si>
    <t>Total Operating Revenue</t>
  </si>
  <si>
    <t>Key metric for growth analysis</t>
  </si>
  <si>
    <t>COST OF SALES</t>
  </si>
  <si>
    <t>Cost of Goods Sold</t>
  </si>
  <si>
    <t>Watch: Growing faster than revenue</t>
  </si>
  <si>
    <t>Gross Profit</t>
  </si>
  <si>
    <t>Revenue</t>
  </si>
  <si>
    <t>Net Income</t>
  </si>
  <si>
    <t>Gross Margin %</t>
  </si>
  <si>
    <t>OPERATING EXPENSES</t>
  </si>
  <si>
    <t>R&amp;D Costs</t>
  </si>
  <si>
    <t>Innovation investment; compare to peers</t>
  </si>
  <si>
    <t>Depreciation &amp; Amortization</t>
  </si>
  <si>
    <t>Non-cash; add back for cash flow</t>
  </si>
  <si>
    <t>Other Operating Income/(Expense)</t>
  </si>
  <si>
    <t>Total Operating Expenses</t>
  </si>
  <si>
    <t>Operating Profit (EBIT)</t>
  </si>
  <si>
    <t>Core operating performance</t>
  </si>
  <si>
    <t>EBIT Margin %</t>
  </si>
  <si>
    <t>Key profitability metric</t>
  </si>
  <si>
    <t>NON-OPERATING ITEMS</t>
  </si>
  <si>
    <t>Interest Expense</t>
  </si>
  <si>
    <t>Other Financial Income/(Expense)</t>
  </si>
  <si>
    <t>Earnings Before Tax (EBT)</t>
  </si>
  <si>
    <t>Income Tax Expense</t>
  </si>
  <si>
    <t>Effective Tax Rate</t>
  </si>
  <si>
    <t>Net Margin %</t>
  </si>
  <si>
    <t>CHART DATA</t>
  </si>
  <si>
    <t>EBIT</t>
  </si>
  <si>
    <t>MARGIN DATA</t>
  </si>
  <si>
    <t>CONSOLIDATED BALANCE SHEET</t>
  </si>
  <si>
    <t>All figures in USD Millions | As of December 31</t>
  </si>
  <si>
    <t>Common Size (% of Total Assets)</t>
  </si>
  <si>
    <t>ASSETS</t>
  </si>
  <si>
    <t>Non-Current Assets</t>
  </si>
  <si>
    <t>Property, Plant &amp; Equipment</t>
  </si>
  <si>
    <t>Intangible Assets &amp; Goodwill</t>
  </si>
  <si>
    <t>Long-term Financial Assets</t>
  </si>
  <si>
    <t>Other Non-Current Assets</t>
  </si>
  <si>
    <t>Total Non-Current Assets</t>
  </si>
  <si>
    <t>Current Assets</t>
  </si>
  <si>
    <t>Inventories</t>
  </si>
  <si>
    <t>Trade Receivables</t>
  </si>
  <si>
    <t>Cash &amp; Cash Equivalents</t>
  </si>
  <si>
    <t>Other Current Assets</t>
  </si>
  <si>
    <t>Total Current Assets</t>
  </si>
  <si>
    <t>TOTAL ASSETS</t>
  </si>
  <si>
    <t>LIABILITIES &amp; EQUITY</t>
  </si>
  <si>
    <t>Non-Current Liabilities</t>
  </si>
  <si>
    <t>Long-term Debt</t>
  </si>
  <si>
    <t>Provisions</t>
  </si>
  <si>
    <t>Other Non-Current Liabilities</t>
  </si>
  <si>
    <t>Total Non-Current Liabilities</t>
  </si>
  <si>
    <t>Current Liabilities</t>
  </si>
  <si>
    <t>Trade Payables</t>
  </si>
  <si>
    <t>Short-term Debt</t>
  </si>
  <si>
    <t>Other Current Liabilities</t>
  </si>
  <si>
    <t>Total Current Liabilities</t>
  </si>
  <si>
    <t>TOTAL LIABILITIES</t>
  </si>
  <si>
    <t>Equity</t>
  </si>
  <si>
    <t>Share capital</t>
  </si>
  <si>
    <t>Other reserves</t>
  </si>
  <si>
    <t xml:space="preserve">                Other Components of Equity</t>
  </si>
  <si>
    <t>Other Components of Equity</t>
  </si>
  <si>
    <t>Retained earnings</t>
  </si>
  <si>
    <t>Total equity</t>
  </si>
  <si>
    <t>TOTAL LIABILITIES &amp; EQUITY</t>
  </si>
  <si>
    <t>CAPITAL STRUCTURE DATA</t>
  </si>
  <si>
    <t>LT Debt</t>
  </si>
  <si>
    <t>ST Debt</t>
  </si>
  <si>
    <t>Other Liab</t>
  </si>
  <si>
    <t>ASSET COMPOSITION DATA</t>
  </si>
  <si>
    <t>PP&amp;E</t>
  </si>
  <si>
    <t>Intangibles</t>
  </si>
  <si>
    <t>Other NCA</t>
  </si>
  <si>
    <t>Metric</t>
  </si>
  <si>
    <t>Formula</t>
  </si>
  <si>
    <t>Interpretation</t>
  </si>
  <si>
    <t>Equity Ratio</t>
  </si>
  <si>
    <t>Equity ÷ Total Assets</t>
  </si>
  <si>
    <t>Debt-to-Capital</t>
  </si>
  <si>
    <t>(LT+ST Debt)÷(Debt+Equity)</t>
  </si>
  <si>
    <t>Fixed Asset Turnover</t>
  </si>
  <si>
    <t>Revenue ÷ PP&amp;E</t>
  </si>
  <si>
    <t>Non-Current Asset %</t>
  </si>
  <si>
    <t>NCA ÷ Total Assets</t>
  </si>
  <si>
    <t>Stable ~60%. Dominated by goodwill ($15B) from acquisitions.</t>
  </si>
  <si>
    <t>Current Asset %</t>
  </si>
  <si>
    <t>CA ÷ Total Assets</t>
  </si>
  <si>
    <t>~39%. Large 'Other CA' ($13.5B) = contract assets from govt.</t>
  </si>
  <si>
    <t>OPERATING EFFICIENCY &amp; CASH FLOW ANALYSIS</t>
  </si>
  <si>
    <t>All formulas linked to source sheets | CFA Framework Phase 4</t>
  </si>
  <si>
    <t>Trend</t>
  </si>
  <si>
    <t>DIO</t>
  </si>
  <si>
    <t>DSO</t>
  </si>
  <si>
    <t>DPO</t>
  </si>
  <si>
    <t>CCC</t>
  </si>
  <si>
    <t>ASSET UTILISATION &amp; OPERATING EFFICIENCY</t>
  </si>
  <si>
    <t>Asset Turnover Ratio</t>
  </si>
  <si>
    <t>Revenue ÷ Avg Total Assets</t>
  </si>
  <si>
    <t>→</t>
  </si>
  <si>
    <t>DIO (Days Inventory Outstanding)</t>
  </si>
  <si>
    <t>(Inventory ÷ |COGS|) × 365</t>
  </si>
  <si>
    <t>DSO (Days Sales Outstanding)</t>
  </si>
  <si>
    <t>(Receivables ÷ Revenue) × 365</t>
  </si>
  <si>
    <t>DPO (Days Payables Outstanding)</t>
  </si>
  <si>
    <t>(Payables ÷ |COGS|) × 365</t>
  </si>
  <si>
    <t>↓</t>
  </si>
  <si>
    <t>Cash Conversion Cycle (CCC)</t>
  </si>
  <si>
    <t>DIO + DSO − DPO</t>
  </si>
  <si>
    <t>↑</t>
  </si>
  <si>
    <t>CASH FLOW STATEMENT ANALYSIS</t>
  </si>
  <si>
    <t>Operating Cash Flow (OCF)</t>
  </si>
  <si>
    <t>From 10-K Cash Flow Statement</t>
  </si>
  <si>
    <t>Investing Cash Flow (CFI)</t>
  </si>
  <si>
    <t>Stable investment profile. Consistent CapEx + acquisitions.</t>
  </si>
  <si>
    <t>Financing Cash Flow (CFF)</t>
  </si>
  <si>
    <t>Less outflow in 2024 ($4.1B vs $7.3B). Reduced share buybacks.</t>
  </si>
  <si>
    <t>Net Profit</t>
  </si>
  <si>
    <t>Capital Expenditure (CapEx)</t>
  </si>
  <si>
    <t>Consistent ~$1.7B/yr. Steady maintenance + growth investment.</t>
  </si>
  <si>
    <t>OCF / Net Profit</t>
  </si>
  <si>
    <t>OCF ÷ Net Income</t>
  </si>
  <si>
    <t>✓</t>
  </si>
  <si>
    <t>OCF / CapEx</t>
  </si>
  <si>
    <t>OCF ÷ |CapEx|</t>
  </si>
  <si>
    <t>CASH FLOW QUALITY METRICS</t>
  </si>
  <si>
    <t>OCF / Revenue (Cash Flow Margin)</t>
  </si>
  <si>
    <t>OCF ÷ Revenue</t>
  </si>
  <si>
    <t>FCF / Net Income (FCF Quality)</t>
  </si>
  <si>
    <t>(OCF − |CapEx|) ÷ Net Income</t>
  </si>
  <si>
    <t>CapEx / D&amp;A (Reinvestment Rate)</t>
  </si>
  <si>
    <t>|CapEx| ÷ |D&amp;A|</t>
  </si>
  <si>
    <t>CapEx/D&amp;A declining. Spending less relative to depreciation. Monitor under-investment.</t>
  </si>
  <si>
    <t>OCF</t>
  </si>
  <si>
    <t>FCF</t>
  </si>
  <si>
    <t>CapEx / Revenue (Capital Intensity)</t>
  </si>
  <si>
    <t>|CapEx| ÷ Revenue</t>
  </si>
  <si>
    <t>WORKING CAPITAL ANALYSIS</t>
  </si>
  <si>
    <t>Net Working Capital (NWC)</t>
  </si>
  <si>
    <t>Current Assets − Current Liab</t>
  </si>
  <si>
    <t>NWC declining but remains positive due to large 'Other CA' ($13.5B contract assets). Adjust below.</t>
  </si>
  <si>
    <t>NWC % of Revenue</t>
  </si>
  <si>
    <t>NWC ÷ Revenue</t>
  </si>
  <si>
    <t>NWC as % of revenue declining - working capital tightening.</t>
  </si>
  <si>
    <t>OPERATING WORKING CAPITAL COMPONENTS</t>
  </si>
  <si>
    <t>Operating Working Capital</t>
  </si>
  <si>
    <t>Inventory + Receivables − Payables</t>
  </si>
  <si>
    <t>Operating WC volatile ($1,262→$2,612→$3,603). Receivables &amp; inventory absorbing more cash.</t>
  </si>
  <si>
    <t>COMPREHENSIVE RATIO ANALYSIS</t>
  </si>
  <si>
    <t>All ratios calculated with Excel formulas referencing source data | Cell references shown</t>
  </si>
  <si>
    <t>Ratio</t>
  </si>
  <si>
    <t>Formula / Cell Reference</t>
  </si>
  <si>
    <t>Benchmark</t>
  </si>
  <si>
    <t>Interpretation &amp; CFA Notes</t>
  </si>
  <si>
    <t>PROFITABILITY RATIOS</t>
  </si>
  <si>
    <t>Gross Profit Margin</t>
  </si>
  <si>
    <t>Gross Profit ÷ Revenue</t>
  </si>
  <si>
    <t>15-20%</t>
  </si>
  <si>
    <t>Operating Margin (EBIT)</t>
  </si>
  <si>
    <t>EBIT ÷ Revenue</t>
  </si>
  <si>
    <t>10-12%</t>
  </si>
  <si>
    <t>Core operating efficiency declining</t>
  </si>
  <si>
    <t>Net Profit Margin</t>
  </si>
  <si>
    <t>Net Income ÷ Revenue</t>
  </si>
  <si>
    <t>8-10%</t>
  </si>
  <si>
    <t>Bottom line profitability</t>
  </si>
  <si>
    <t>Return on Equity (ROE)</t>
  </si>
  <si>
    <t>Net Income ÷ Avg Equity</t>
  </si>
  <si>
    <t>15-25%</t>
  </si>
  <si>
    <t>Return on Assets (ROA)</t>
  </si>
  <si>
    <t>Net Income ÷ Avg Assets</t>
  </si>
  <si>
    <t>8-12%</t>
  </si>
  <si>
    <t>True operational return - declining</t>
  </si>
  <si>
    <t>Basic Earning Power (BEP)</t>
  </si>
  <si>
    <t>EBIT ÷ Total Assets</t>
  </si>
  <si>
    <t>LIQUIDITY RATIOS</t>
  </si>
  <si>
    <t>Current Ratio</t>
  </si>
  <si>
    <t>Current Assets ÷ Current Liab</t>
  </si>
  <si>
    <t>1.5-2.0x</t>
  </si>
  <si>
    <t>Quick Ratio</t>
  </si>
  <si>
    <t>(CA - Inventory) ÷ CL</t>
  </si>
  <si>
    <t>&gt;1.0x</t>
  </si>
  <si>
    <t>Cash Ratio</t>
  </si>
  <si>
    <t>Cash ÷ Current Liabilities</t>
  </si>
  <si>
    <t>&gt;0.2x</t>
  </si>
  <si>
    <t>Minimal cash buffer</t>
  </si>
  <si>
    <t>SOLVENCY RATIOS</t>
  </si>
  <si>
    <t>Debt-to-Equity</t>
  </si>
  <si>
    <t>Total Debt ÷ Equity</t>
  </si>
  <si>
    <t>0.5-1.5x</t>
  </si>
  <si>
    <t>Debt-to-Assets</t>
  </si>
  <si>
    <t>Total Debt ÷ Total Assets</t>
  </si>
  <si>
    <t>&lt;40%</t>
  </si>
  <si>
    <t>Increasing debt burden</t>
  </si>
  <si>
    <t>Interest Coverage</t>
  </si>
  <si>
    <t>EBIT ÷ Interest Expense</t>
  </si>
  <si>
    <t>&gt;5.0x</t>
  </si>
  <si>
    <t>Declining but still adequate</t>
  </si>
  <si>
    <t>Financial Leverage</t>
  </si>
  <si>
    <t>Avg Assets ÷ Avg Equity</t>
  </si>
  <si>
    <t>2-4x</t>
  </si>
  <si>
    <t>EFFICIENCY RATIOS</t>
  </si>
  <si>
    <t>Asset Turnover</t>
  </si>
  <si>
    <t>Revenue ÷ Avg Assets</t>
  </si>
  <si>
    <t>1.0-1.5x</t>
  </si>
  <si>
    <t>Stable asset utilization</t>
  </si>
  <si>
    <t>Receivables Turnover</t>
  </si>
  <si>
    <t>Revenue ÷ Avg Receivables</t>
  </si>
  <si>
    <t>&gt;10x</t>
  </si>
  <si>
    <t>Days Sales Outstanding</t>
  </si>
  <si>
    <t>365 ÷ Receivables Turnover</t>
  </si>
  <si>
    <t>&lt;30 days</t>
  </si>
  <si>
    <t>Inventory Turnover</t>
  </si>
  <si>
    <t>COGS ÷ Avg Inventory</t>
  </si>
  <si>
    <t>Days Inventory</t>
  </si>
  <si>
    <t>365 ÷ Inventory Turnover</t>
  </si>
  <si>
    <t>Quick inventory cycle</t>
  </si>
  <si>
    <t>DUPONT DECOMPOSITION ANALYSIS</t>
  </si>
  <si>
    <t>Understanding the drivers of Return on Equity</t>
  </si>
  <si>
    <t>3-FACTOR DUPONT MODEL: ROE = NPM × Asset Turnover × Financial Leverage</t>
  </si>
  <si>
    <t>Component</t>
  </si>
  <si>
    <t>DECLINING - margin compression</t>
  </si>
  <si>
    <t>STABLE - efficient asset use</t>
  </si>
  <si>
    <t>ROE (Calculated)</t>
  </si>
  <si>
    <t>NPM × AT × FL</t>
  </si>
  <si>
    <t>ROE (Direct)</t>
  </si>
  <si>
    <t>KEY INSIGHT: THE ROE ILLUSION</t>
  </si>
  <si>
    <t>CFA RED FLAGS ANALYSIS</t>
  </si>
  <si>
    <t>Earnings Quality Assessment per CFA Institute Framework</t>
  </si>
  <si>
    <t>Red Flag Indicator</t>
  </si>
  <si>
    <t>Status</t>
  </si>
  <si>
    <t>1. Receivables vs Revenue</t>
  </si>
  <si>
    <t>Revenue Growth</t>
  </si>
  <si>
    <t>Receivables Growth</t>
  </si>
  <si>
    <t>Assessment</t>
  </si>
  <si>
    <t>2. Margin Volatility</t>
  </si>
  <si>
    <t>Gross Margin Δ</t>
  </si>
  <si>
    <t>3. One-Off Items</t>
  </si>
  <si>
    <t>Other Operating Inc/Exp</t>
  </si>
  <si>
    <t>4. Interest Expense Trend</t>
  </si>
  <si>
    <t>Interest Expense Growth</t>
  </si>
  <si>
    <t>5. Cash vs Accrual</t>
  </si>
  <si>
    <t>OCF (estimate)</t>
  </si>
  <si>
    <t>OCF/NI Ratio</t>
  </si>
  <si>
    <t>OVERALL EARNINGS QUALITY ASSESSMENT</t>
  </si>
  <si>
    <t>Summary: Lockheed Martin shows MIXED earnings quality signals:
POSITIVES: Strong cash conversion (OCF &gt; Net Income), efficient receivables collection, no channel stuffing evident
CONCERNS: Significant margin compression without clear explanation, rising leverage and interest costs, volatile other operating items
RECOMMENDATION: Normalize earnings by removing one-offs before valuation. Focus on operating cash flow trends. Monitor margin recovery closely.</t>
  </si>
  <si>
    <t>INDUSTRY PEER COMPARISON</t>
  </si>
  <si>
    <t>FY 2024 | Major Defense Contractors</t>
  </si>
  <si>
    <t>LMT</t>
  </si>
  <si>
    <t>RTX</t>
  </si>
  <si>
    <t>NOC</t>
  </si>
  <si>
    <t>GD</t>
  </si>
  <si>
    <t>Industry Avg</t>
  </si>
  <si>
    <t>LMT Rank</t>
  </si>
  <si>
    <t>Revenue ($B)</t>
  </si>
  <si>
    <t>#1</t>
  </si>
  <si>
    <t>#4</t>
  </si>
  <si>
    <t>#3</t>
  </si>
  <si>
    <t>Operating Margin</t>
  </si>
  <si>
    <t>#2</t>
  </si>
  <si>
    <t>Competitive</t>
  </si>
  <si>
    <t>Middle of pack</t>
  </si>
  <si>
    <t>ROE</t>
  </si>
  <si>
    <t>ROA</t>
  </si>
  <si>
    <t>Debt/Equity</t>
  </si>
  <si>
    <t>Below benchmark</t>
  </si>
  <si>
    <t>Adequate but declining</t>
  </si>
  <si>
    <t>COMPETITIVE POSITION SUMMARY</t>
  </si>
  <si>
    <t>STRENGTHS</t>
  </si>
  <si>
    <t>• Largest pure-defense contractor
• Highest ROA among peers
• Strong backlog ($176B)
• F-35 program dominance</t>
  </si>
  <si>
    <t>WEAKNESSES</t>
  </si>
  <si>
    <t>• Highest leverage (D/E 3.2x)
• Lowest gross margin
• Slowest revenue growth
• ONLY peer with margin decline</t>
  </si>
  <si>
    <t>IFRS vs US GAAP — DEFENSE INDUSTRY COMPARISON</t>
  </si>
  <si>
    <t>Lockheed Martin (US GAAP) vs BAE Systems (IFRS) | Requirement 3 Advanced + FX Impact</t>
  </si>
  <si>
    <t>ACCOUNTING FRAMEWORK DIFFERENCES</t>
  </si>
  <si>
    <t>Topic</t>
  </si>
  <si>
    <t>US GAAP (LMT)</t>
  </si>
  <si>
    <t>IFRS (BAE Systems)</t>
  </si>
  <si>
    <t>Impact on Comparability</t>
  </si>
  <si>
    <t>Revenue Recognition</t>
  </si>
  <si>
    <t>ASC 606 — % completion for long-term defense contracts; point-in-time for standard deliveries</t>
  </si>
  <si>
    <t>IFRS 15 — Same principle but IFRS allows more judgment in identifying performance obligations</t>
  </si>
  <si>
    <t>Minimal difference post-convergence. Both use input/output methods for defense contracts.</t>
  </si>
  <si>
    <t>ALL R&amp;D expensed as incurred (ASC 730). LMT: $1.6B expensed in 2024</t>
  </si>
  <si>
    <t>Research expensed; Development costs CAPITALIZED if 6 criteria met (IAS 38)</t>
  </si>
  <si>
    <t>Inventory Valuation</t>
  </si>
  <si>
    <t>LIFO permitted. Lower of cost or market</t>
  </si>
  <si>
    <t>LIFO PROHIBITED (IAS 2). Must use FIFO or weighted average. Lower of cost or NRV</t>
  </si>
  <si>
    <t>Leases</t>
  </si>
  <si>
    <t>ASC 842 — Operating vs Finance distinction; both on BS</t>
  </si>
  <si>
    <t>IFRS 16 — Single model; virtually ALL leases on BS</t>
  </si>
  <si>
    <t>IFRS 16 creates larger ROU assets and lease liabilities. Adjust D/E.</t>
  </si>
  <si>
    <t>Goodwill</t>
  </si>
  <si>
    <t>Not amortized; annual impairment (ASC 350). LMT: $10.8B</t>
  </si>
  <si>
    <t>Not amortized; annual impairment (IAS 36)</t>
  </si>
  <si>
    <t>Similar treatment. Minor differences in impairment methodology.</t>
  </si>
  <si>
    <t>Pension Obligations</t>
  </si>
  <si>
    <t>Corridor approach; remeasurements in OCI (ASC 715)</t>
  </si>
  <si>
    <t>Immediate OCI recognition (IAS 19R). No corridor smoothing</t>
  </si>
  <si>
    <t>Government Grants</t>
  </si>
  <si>
    <t>No specific standard; reduce cost or income (ASC 740 for tax)</t>
  </si>
  <si>
    <t>IAS 20 — Reduce asset cost or deferred income</t>
  </si>
  <si>
    <t>Defense firms get significant grants. Different presentation affects margins.</t>
  </si>
  <si>
    <t>Foreign Currency</t>
  </si>
  <si>
    <t>ASC 830 — Functional currency approach; FX in OCI</t>
  </si>
  <si>
    <t>IAS 21 — Similar functional currency; FX in OCI</t>
  </si>
  <si>
    <t>FINANCIAL METRICS COMPARISON (FY 2024)</t>
  </si>
  <si>
    <t>LMT (US GAAP)</t>
  </si>
  <si>
    <t>BAE Systems (IFRS)</t>
  </si>
  <si>
    <t>Commentary</t>
  </si>
  <si>
    <t>$71.1B</t>
  </si>
  <si>
    <t>£28.3B (~$36B)</t>
  </si>
  <si>
    <t>LMT ~2x larger. BAE growing faster (14% vs 5.2%)</t>
  </si>
  <si>
    <t>14.2%</t>
  </si>
  <si>
    <t>~21%</t>
  </si>
  <si>
    <t>7.5%</t>
  </si>
  <si>
    <t>~8.5%</t>
  </si>
  <si>
    <t>BAE slightly better; adjust for accounting diffs</t>
  </si>
  <si>
    <t>D/E Ratio</t>
  </si>
  <si>
    <t>3.20x</t>
  </si>
  <si>
    <t>~0.90x</t>
  </si>
  <si>
    <t>R&amp;D Treatment</t>
  </si>
  <si>
    <t>Fully expensed ($1.6B)</t>
  </si>
  <si>
    <t>Partially capitalized</t>
  </si>
  <si>
    <t>If LMT capitalized R&amp;D, margins appear higher</t>
  </si>
  <si>
    <t>5.2%</t>
  </si>
  <si>
    <t>~14%</t>
  </si>
  <si>
    <t>BAE benefits from European defense spending surge</t>
  </si>
  <si>
    <t>Inventory Method</t>
  </si>
  <si>
    <t>LIFO available</t>
  </si>
  <si>
    <t>FIFO/Weighted Avg only</t>
  </si>
  <si>
    <t>LIFO reserve adjustment needed for comparison</t>
  </si>
  <si>
    <t>Pension Provisions</t>
  </si>
  <si>
    <t>$5.5B (smoothed)</t>
  </si>
  <si>
    <t>Immediate OCI</t>
  </si>
  <si>
    <t>Different volatility profiles in equity</t>
  </si>
  <si>
    <t>Factor</t>
  </si>
  <si>
    <t>Detail</t>
  </si>
  <si>
    <t>Context</t>
  </si>
  <si>
    <t>Comparability Impact</t>
  </si>
  <si>
    <t>LMT International Revenue</t>
  </si>
  <si>
    <t>~$19.2B (27% of total)</t>
  </si>
  <si>
    <t>F-35 program is largest source: 9 partner nations + FMS customers</t>
  </si>
  <si>
    <t>USD-denominated contracts reduce direct FX translation risk</t>
  </si>
  <si>
    <t>Currency Exposure</t>
  </si>
  <si>
    <t>USD (primary), EUR, GBP, JPY, AUD</t>
  </si>
  <si>
    <t>Supply chain costs in foreign currencies create transaction exposure</t>
  </si>
  <si>
    <t>LMT uses FX forwards &amp; options to hedge (10-K Note 12)</t>
  </si>
  <si>
    <t>USD Strength Impact</t>
  </si>
  <si>
    <t>Favorable for LMT cost structure</t>
  </si>
  <si>
    <t>Strong USD = cheaper imported components and sub-assemblies</t>
  </si>
  <si>
    <t>Unfavorable for BAE when translating USD revenue to GBP</t>
  </si>
  <si>
    <t>BAE Currency Profile</t>
  </si>
  <si>
    <t>~40% revenue in USD (from BAE Inc.)</t>
  </si>
  <si>
    <t>Remaining in GBP, EUR, SAR (Saudi Arabia)</t>
  </si>
  <si>
    <t>Multi-currency exposure requires aggressive hedging</t>
  </si>
  <si>
    <t>Analyst Adjustment</t>
  </si>
  <si>
    <t>P&amp;L: Average FX rate</t>
  </si>
  <si>
    <t>Balance Sheet: Closing rate</t>
  </si>
  <si>
    <t>Note: BAE's USD revenue creates natural hedge vs USD costs</t>
  </si>
  <si>
    <t>KEY COMPARABILITY CONCLUSION</t>
  </si>
  <si>
    <t>REQUIRED ADJUSTMENTS for LMT vs BAE comparison:</t>
  </si>
  <si>
    <t>1. R&amp;D: Add back BAE's capitalized development costs to expenses for like-for-like margin comparison</t>
  </si>
  <si>
    <t>2. Inventory: Adjust LMT LIFO reserve for FIFO equivalence (disclosed in 10-K inventory footnote)</t>
  </si>
  <si>
    <t>3. Currency: Convert BAE financials at average rate (P&amp;L) and closing rate (BS) consistently</t>
  </si>
  <si>
    <t>4. Pension: Note different volatility profiles — GAAP corridor smoothing vs IFRS immediate recognition</t>
  </si>
  <si>
    <t>5. Leases: IFRS 16 capitalizes more leases — adjust BAE's D/E for comparability with LMT's ASC 842 split</t>
  </si>
  <si>
    <t>BOTTOM LINE: After adjustments, LMT's operating gap with BAE narrows, but leverage (D/E 3.2x vs 0.9x) remains the primary risk.</t>
  </si>
  <si>
    <t xml:space="preserve"> Notes</t>
  </si>
  <si>
    <t xml:space="preserve">CAPITAL &amp; ASSET STRUCTURE ANALYSIS </t>
  </si>
  <si>
    <t xml:space="preserve">FOREIGN EXCHANGE &amp; INTERNATIONAL OPERATIONS </t>
  </si>
  <si>
    <t>Notes</t>
  </si>
  <si>
    <t>300bps decline</t>
  </si>
  <si>
    <t xml:space="preserve">Receivables grew slower than revenue </t>
  </si>
  <si>
    <t>Volatile swings (+326 to -984) - normalize for valuation</t>
  </si>
  <si>
    <t xml:space="preserve"> +13% YoY increase signals rising debt burden</t>
  </si>
  <si>
    <t>Declining margin trend</t>
  </si>
  <si>
    <t>increase in +66%  - leverage concern</t>
  </si>
  <si>
    <t>Declining from 17.5% to 11.4%.</t>
  </si>
  <si>
    <t xml:space="preserve"> Debt now funds 76% of capital vs 63% in 2022.</t>
  </si>
  <si>
    <t>Strong ~8x. High revenue per dollar of fixed assets.</t>
  </si>
  <si>
    <t>Largest pure-defense contractor</t>
  </si>
  <si>
    <t>Slowest growth among peers</t>
  </si>
  <si>
    <t>Below RTX and NOC</t>
  </si>
  <si>
    <t>Misleading - leverage driven</t>
  </si>
  <si>
    <t>True operational return</t>
  </si>
  <si>
    <t>HIGHEST leverage - risk</t>
  </si>
  <si>
    <t>INCREASING - drives ROE</t>
  </si>
  <si>
    <t>Lockheed Martin's ROE appears exceptionally high (~80%+), but DuPont analysis reveals the truth:
• Net Profit Margin is DECLINING (8.7% → 7.5%) - operational weakness
• Asset Turnover is STABLE (~1.28x) - no efficiency improvement  
• Financial Leverage is DRAMATICALLY INCREASING (5.7x → 8.8x) - the ONLY driver of high ROE</t>
  </si>
  <si>
    <t>Stable ~1.28x. Efficient revenue generation per dollar of assets.</t>
  </si>
  <si>
    <t>Stable ~20 days. Fast inventory conversion due to contract-based production.</t>
  </si>
  <si>
    <t>EXCELLENT: ~12 days. Government contracts ensure rapid payment.</t>
  </si>
  <si>
    <t xml:space="preserve"> Declined from 15 to 13 days. Paying suppliers faster = less leverage on credit.</t>
  </si>
  <si>
    <t>CCC rising from ~17→20 days. Cash takes longer to cycle. Driven by DPO decline.</t>
  </si>
  <si>
    <t>CFO declining from $7,920M to $6,972M (−12%). Core cash generation weakening.</t>
  </si>
  <si>
    <t>Net Income dropped 23% YoY ($6,920M → $5,336M).</t>
  </si>
  <si>
    <t>EXCELLENT: &gt;1.0x consistently. Cash earnings exceed accrual = HIGH quality.</t>
  </si>
  <si>
    <t>STRONG: &gt;4x means OCF easily covers reinvestment. Low capital needs.</t>
  </si>
  <si>
    <t>Declining from 11.7% to 9.8%. Less cash per dollar of revenue.</t>
  </si>
  <si>
    <t>~1.0x indicates genuine earnings quality. FCF backs up reported profits.</t>
  </si>
  <si>
    <t>Low ~2.4% capital intensity. Defense is asset-light relative to revenue.</t>
  </si>
  <si>
    <t>300bps decline indicates cost pressure or pricing erosion</t>
  </si>
  <si>
    <t>HIGH due to leverage - see DuPont</t>
  </si>
  <si>
    <t>Below benchmark - liquidity tightening</t>
  </si>
  <si>
    <t>Below 1.0 - immediate liquidity concern</t>
  </si>
  <si>
    <t>CRITICAL: Far exceeds industry norm</t>
  </si>
  <si>
    <t>Very high - drives ROE</t>
  </si>
  <si>
    <t>Excellent collection efficiency</t>
  </si>
  <si>
    <t>Fast collection period</t>
  </si>
  <si>
    <t>Strong inventory management</t>
  </si>
  <si>
    <t>STRONG: OCF &gt; NI indicates high earnings quality</t>
  </si>
  <si>
    <t>BAE may capitalize development → higher assets &amp; profits. Adjust for comparison.</t>
  </si>
  <si>
    <t>BAE higher — partly IFRS dev cost capitalization</t>
  </si>
  <si>
    <t>LMT far more leveraged from buybacks</t>
  </si>
  <si>
    <t>BAE in GBP. LMT ~27% intl revenue = FX exposure.</t>
  </si>
  <si>
    <t>GAAP corridor smooths volatility. IFRS shows full impact immediately.</t>
  </si>
  <si>
    <t>LIFO creates lower reported inventory &amp; profits in inflation. Major comparability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</si>
</sst>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\-"/>
    <numFmt numFmtId="165" formatCode="0.0%;\(0.0%\);\-"/>
    <numFmt numFmtId="166" formatCode="0.0%"/>
    <numFmt numFmtId="167" formatCode="#,##0_ ;[Red]\-#,##0\ "/>
    <numFmt numFmtId="168" formatCode="0.0\x"/>
    <numFmt numFmtId="169" formatCode="0.0"/>
    <numFmt numFmtId="170" formatCode="0.00\x"/>
    <numFmt numFmtId="171" formatCode="#,##0;\(#,##0\)"/>
    <numFmt numFmtId="172" formatCode="0.000"/>
    <numFmt numFmtId="173" formatCode="#,##0.0"/>
  </numFmts>
  <fonts count="47" x14ac:knownFonts="1">
    <font>
      <sz val="11"/>
      <color theme="1"/>
      <name val="Calibri"/>
      <family val="2"/>
      <charset val="1"/>
    </font>
    <font>
      <b/>
      <sz val="32"/>
      <color rgb="FF0D1B2A"/>
      <name val="Arial"/>
      <family val="2"/>
      <charset val="1"/>
    </font>
    <font>
      <sz val="14"/>
      <color rgb="FF1B4D89"/>
      <name val="Arial"/>
      <family val="2"/>
      <charset val="1"/>
    </font>
    <font>
      <b/>
      <sz val="20"/>
      <color rgb="FF495057"/>
      <name val="Arial"/>
      <family val="2"/>
      <charset val="1"/>
    </font>
    <font>
      <sz val="12"/>
      <color rgb="FF6C757D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0"/>
      <color rgb="FF495057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897B"/>
      <name val="Arial"/>
      <family val="2"/>
      <charset val="1"/>
    </font>
    <font>
      <sz val="10"/>
      <color rgb="FF495057"/>
      <name val="Arial"/>
      <family val="2"/>
      <charset val="1"/>
    </font>
    <font>
      <b/>
      <sz val="11"/>
      <color rgb="FF0D1B2A"/>
      <name val="Arial"/>
      <family val="2"/>
      <charset val="1"/>
    </font>
    <font>
      <sz val="9"/>
      <color rgb="FF6C757D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8000"/>
      <name val="Arial"/>
      <family val="2"/>
      <charset val="1"/>
    </font>
    <font>
      <b/>
      <sz val="18"/>
      <color rgb="FF0D1B2A"/>
      <name val="Arial"/>
      <family val="2"/>
      <charset val="1"/>
    </font>
    <font>
      <b/>
      <sz val="10"/>
      <color rgb="FF0D1B2A"/>
      <name val="Arial"/>
      <family val="2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0"/>
      <color rgb="FF0D1B2A"/>
      <name val="Arial"/>
      <family val="2"/>
      <charset val="1"/>
    </font>
    <font>
      <b/>
      <sz val="10"/>
      <color rgb="FFD32F2F"/>
      <name val="Arial"/>
      <family val="2"/>
      <charset val="1"/>
    </font>
    <font>
      <i/>
      <sz val="9"/>
      <color rgb="FF495057"/>
      <name val="Arial"/>
      <family val="2"/>
      <charset val="1"/>
    </font>
    <font>
      <sz val="10"/>
      <color rgb="FF00B050"/>
      <name val="Arial"/>
      <family val="2"/>
      <charset val="1"/>
    </font>
    <font>
      <sz val="10"/>
      <color rgb="FF495057"/>
      <name val="Arial"/>
      <family val="2"/>
    </font>
    <font>
      <b/>
      <sz val="10"/>
      <color rgb="FF1B4D89"/>
      <name val="Arial"/>
      <family val="2"/>
      <charset val="1"/>
    </font>
    <font>
      <sz val="10"/>
      <color theme="0"/>
      <name val="Arial"/>
      <family val="2"/>
      <charset val="1"/>
    </font>
    <font>
      <b/>
      <sz val="16"/>
      <color rgb="FF0D1B2A"/>
      <name val="Arial"/>
      <family val="2"/>
    </font>
    <font>
      <b/>
      <sz val="10"/>
      <color rgb="FF495057"/>
      <name val="Arial"/>
      <family val="2"/>
    </font>
    <font>
      <i/>
      <sz val="9"/>
      <color rgb="FF6C757D"/>
      <name val="Arial"/>
      <family val="2"/>
    </font>
    <font>
      <sz val="9"/>
      <color rgb="FF6C757D"/>
      <name val="Arial"/>
      <family val="2"/>
    </font>
    <font>
      <b/>
      <sz val="11"/>
      <color rgb="FFFFFFFF"/>
      <name val="Arial"/>
      <family val="2"/>
    </font>
    <font>
      <b/>
      <sz val="14"/>
      <color rgb="FFF9A825"/>
      <name val="Arial"/>
      <family val="2"/>
    </font>
    <font>
      <b/>
      <sz val="10"/>
      <color rgb="FF388E3C"/>
      <name val="Arial"/>
      <family val="2"/>
    </font>
    <font>
      <b/>
      <sz val="14"/>
      <color rgb="FFD32F2F"/>
      <name val="Arial"/>
      <family val="2"/>
    </font>
    <font>
      <b/>
      <sz val="10"/>
      <color rgb="FFD32F2F"/>
      <name val="Arial"/>
      <family val="2"/>
    </font>
    <font>
      <b/>
      <i/>
      <sz val="9"/>
      <color rgb="FF0D1B2A"/>
      <name val="Arial"/>
      <family val="2"/>
    </font>
    <font>
      <b/>
      <sz val="10"/>
      <color rgb="FF008000"/>
      <name val="Arial"/>
      <family val="2"/>
    </font>
    <font>
      <sz val="10"/>
      <color rgb="FF0000FF"/>
      <name val="Arial"/>
      <family val="2"/>
    </font>
    <font>
      <i/>
      <sz val="8"/>
      <color rgb="FF6C757D"/>
      <name val="Arial"/>
      <family val="2"/>
      <charset val="1"/>
    </font>
    <font>
      <b/>
      <sz val="14"/>
      <color rgb="FFD32F2F"/>
      <name val="Arial"/>
      <family val="2"/>
      <charset val="1"/>
    </font>
    <font>
      <b/>
      <sz val="14"/>
      <color rgb="FF388E3C"/>
      <name val="Arial"/>
      <family val="2"/>
      <charset val="1"/>
    </font>
    <font>
      <b/>
      <sz val="14"/>
      <color rgb="FFF9A825"/>
      <name val="Arial"/>
      <family val="2"/>
      <charset val="1"/>
    </font>
    <font>
      <b/>
      <sz val="10"/>
      <color rgb="FF388E3C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6C757D"/>
      <name val="Arial"/>
      <family val="2"/>
      <charset val="1"/>
    </font>
    <font>
      <b/>
      <sz val="12"/>
      <color rgb="FFD32F2F"/>
      <name val="Arial"/>
      <family val="2"/>
      <charset val="1"/>
    </font>
    <font>
      <sz val="12"/>
      <color rgb="FF6C75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4D89"/>
        <bgColor rgb="FF003366"/>
      </patternFill>
    </fill>
    <fill>
      <patternFill patternType="solid">
        <fgColor rgb="FFE3F2FD"/>
        <bgColor rgb="FFE8F5E9"/>
      </patternFill>
    </fill>
    <fill>
      <patternFill patternType="solid">
        <fgColor rgb="FF0D1B2A"/>
        <bgColor rgb="FF000000"/>
      </patternFill>
    </fill>
    <fill>
      <patternFill patternType="solid">
        <fgColor rgb="FFFFEBEE"/>
        <bgColor rgb="FFFFF8E1"/>
      </patternFill>
    </fill>
    <fill>
      <patternFill patternType="solid">
        <fgColor rgb="FFFFF8E1"/>
        <bgColor rgb="FFFFEBEE"/>
      </patternFill>
    </fill>
    <fill>
      <patternFill patternType="solid">
        <fgColor rgb="FFFFF59D"/>
        <bgColor rgb="FFFFF8E1"/>
      </patternFill>
    </fill>
    <fill>
      <patternFill patternType="solid">
        <fgColor rgb="FFE8F5E9"/>
        <bgColor rgb="FFE3F2FD"/>
      </patternFill>
    </fill>
  </fills>
  <borders count="6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/>
    <xf numFmtId="0" fontId="6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7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5" fillId="3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5" fillId="2" borderId="0" xfId="0" applyFont="1" applyFill="1" applyAlignment="1"/>
    <xf numFmtId="0" fontId="0" fillId="2" borderId="1" xfId="0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166" fontId="18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right" vertical="center"/>
    </xf>
    <xf numFmtId="166" fontId="18" fillId="0" borderId="0" xfId="0" applyNumberFormat="1" applyFont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19" fillId="3" borderId="1" xfId="0" applyFont="1" applyFill="1" applyBorder="1" applyAlignment="1"/>
    <xf numFmtId="164" fontId="12" fillId="3" borderId="1" xfId="0" applyNumberFormat="1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left" vertical="top" wrapText="1"/>
    </xf>
    <xf numFmtId="0" fontId="21" fillId="0" borderId="0" xfId="0" applyFont="1" applyAlignment="1"/>
    <xf numFmtId="166" fontId="21" fillId="0" borderId="1" xfId="0" applyNumberFormat="1" applyFont="1" applyBorder="1" applyAlignment="1">
      <alignment horizontal="right" vertical="center"/>
    </xf>
    <xf numFmtId="0" fontId="20" fillId="5" borderId="1" xfId="0" applyFont="1" applyFill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center" vertical="center"/>
    </xf>
    <xf numFmtId="164" fontId="22" fillId="3" borderId="1" xfId="0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24" fillId="0" borderId="0" xfId="0" applyFont="1" applyAlignment="1"/>
    <xf numFmtId="0" fontId="16" fillId="4" borderId="2" xfId="0" applyFont="1" applyFill="1" applyBorder="1" applyAlignment="1"/>
    <xf numFmtId="164" fontId="25" fillId="4" borderId="1" xfId="0" applyNumberFormat="1" applyFont="1" applyFill="1" applyBorder="1" applyAlignment="1">
      <alignment horizontal="right" vertical="center"/>
    </xf>
    <xf numFmtId="0" fontId="16" fillId="4" borderId="0" xfId="0" applyFont="1" applyFill="1" applyAlignment="1"/>
    <xf numFmtId="0" fontId="0" fillId="0" borderId="0" xfId="0" applyFont="1" applyAlignment="1">
      <alignment horizontal="left"/>
    </xf>
    <xf numFmtId="167" fontId="0" fillId="0" borderId="0" xfId="0" applyNumberFormat="1" applyAlignment="1">
      <alignment horizontal="right"/>
    </xf>
    <xf numFmtId="0" fontId="9" fillId="0" borderId="1" xfId="0" applyFont="1" applyBorder="1" applyAlignment="1">
      <alignment horizontal="left"/>
    </xf>
    <xf numFmtId="0" fontId="26" fillId="0" borderId="0" xfId="0" applyFont="1"/>
    <xf numFmtId="0" fontId="27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166" fontId="18" fillId="7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top" wrapText="1"/>
    </xf>
    <xf numFmtId="168" fontId="18" fillId="7" borderId="1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0" fillId="2" borderId="0" xfId="0" applyFill="1" applyAlignment="1"/>
    <xf numFmtId="169" fontId="18" fillId="0" borderId="1" xfId="0" applyNumberFormat="1" applyFont="1" applyBorder="1" applyAlignment="1">
      <alignment horizontal="center" vertical="center"/>
    </xf>
    <xf numFmtId="170" fontId="18" fillId="7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8" borderId="1" xfId="0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top" wrapText="1"/>
    </xf>
    <xf numFmtId="0" fontId="15" fillId="3" borderId="2" xfId="0" applyFont="1" applyFill="1" applyBorder="1" applyAlignment="1">
      <alignment horizontal="left" vertical="top" wrapText="1"/>
    </xf>
    <xf numFmtId="0" fontId="35" fillId="3" borderId="2" xfId="0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3" fontId="18" fillId="7" borderId="1" xfId="0" applyNumberFormat="1" applyFont="1" applyFill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/>
    </xf>
    <xf numFmtId="171" fontId="36" fillId="7" borderId="2" xfId="0" applyNumberFormat="1" applyFont="1" applyFill="1" applyBorder="1" applyAlignment="1">
      <alignment horizontal="center" vertical="center"/>
    </xf>
    <xf numFmtId="3" fontId="36" fillId="7" borderId="2" xfId="0" applyNumberFormat="1" applyFont="1" applyFill="1" applyBorder="1" applyAlignment="1">
      <alignment horizontal="center" vertical="center"/>
    </xf>
    <xf numFmtId="0" fontId="19" fillId="0" borderId="1" xfId="0" applyFont="1" applyBorder="1" applyAlignment="1"/>
    <xf numFmtId="0" fontId="38" fillId="0" borderId="1" xfId="0" applyFont="1" applyBorder="1" applyAlignment="1"/>
    <xf numFmtId="166" fontId="13" fillId="7" borderId="1" xfId="0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70" fontId="13" fillId="7" borderId="1" xfId="0" applyNumberFormat="1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left" vertical="top" wrapText="1"/>
    </xf>
    <xf numFmtId="169" fontId="13" fillId="7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/>
    <xf numFmtId="0" fontId="44" fillId="0" borderId="1" xfId="0" applyFont="1" applyBorder="1" applyAlignment="1"/>
    <xf numFmtId="172" fontId="13" fillId="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/>
    <xf numFmtId="0" fontId="20" fillId="5" borderId="1" xfId="0" applyFont="1" applyFill="1" applyBorder="1" applyAlignment="1"/>
    <xf numFmtId="0" fontId="19" fillId="3" borderId="0" xfId="0" applyFont="1" applyFill="1" applyAlignment="1"/>
    <xf numFmtId="166" fontId="1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/>
    </xf>
    <xf numFmtId="173" fontId="7" fillId="7" borderId="1" xfId="0" applyNumberFormat="1" applyFont="1" applyFill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8" borderId="1" xfId="0" applyFont="1" applyFill="1" applyBorder="1" applyAlignment="1"/>
    <xf numFmtId="166" fontId="7" fillId="7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0" fontId="7" fillId="7" borderId="1" xfId="0" applyNumberFormat="1" applyFont="1" applyFill="1" applyBorder="1" applyAlignment="1">
      <alignment horizontal="center" vertical="center"/>
    </xf>
    <xf numFmtId="170" fontId="9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0" fontId="42" fillId="8" borderId="0" xfId="0" applyFont="1" applyFill="1" applyAlignment="1"/>
    <xf numFmtId="0" fontId="20" fillId="5" borderId="0" xfId="0" applyFont="1" applyFill="1" applyAlignment="1"/>
    <xf numFmtId="0" fontId="29" fillId="0" borderId="0" xfId="0" applyFont="1"/>
    <xf numFmtId="0" fontId="0" fillId="2" borderId="0" xfId="0" applyFill="1"/>
    <xf numFmtId="0" fontId="23" fillId="0" borderId="1" xfId="0" applyFont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0" fillId="4" borderId="0" xfId="0" applyFill="1"/>
    <xf numFmtId="0" fontId="15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left" vertical="top" wrapText="1"/>
    </xf>
    <xf numFmtId="0" fontId="27" fillId="6" borderId="1" xfId="0" applyFont="1" applyFill="1" applyBorder="1" applyAlignment="1">
      <alignment horizontal="left" vertical="top" wrapText="1"/>
    </xf>
    <xf numFmtId="166" fontId="21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left" vertical="top" wrapText="1"/>
    </xf>
    <xf numFmtId="0" fontId="17" fillId="4" borderId="4" xfId="0" applyFont="1" applyFill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/>
    </xf>
    <xf numFmtId="0" fontId="0" fillId="0" borderId="3" xfId="0" applyFill="1" applyBorder="1"/>
    <xf numFmtId="0" fontId="0" fillId="0" borderId="3" xfId="0" applyFill="1" applyBorder="1" applyAlignment="1"/>
    <xf numFmtId="0" fontId="30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6" fontId="18" fillId="7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/>
    <xf numFmtId="0" fontId="18" fillId="7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9" fillId="0" borderId="1" xfId="0" applyFont="1" applyBorder="1" applyAlignment="1"/>
    <xf numFmtId="0" fontId="11" fillId="0" borderId="0" xfId="0" applyFont="1" applyBorder="1" applyAlignment="1"/>
    <xf numFmtId="0" fontId="10" fillId="0" borderId="0" xfId="0" applyFont="1" applyBorder="1" applyAlignment="1"/>
    <xf numFmtId="0" fontId="14" fillId="0" borderId="0" xfId="0" applyFont="1" applyBorder="1" applyAlignment="1"/>
    <xf numFmtId="0" fontId="46" fillId="8" borderId="5" xfId="0" applyFont="1" applyFill="1" applyBorder="1" applyAlignment="1">
      <alignment horizontal="left" vertical="top" wrapText="1"/>
    </xf>
    <xf numFmtId="0" fontId="46" fillId="8" borderId="0" xfId="0" applyFont="1" applyFill="1" applyBorder="1" applyAlignment="1">
      <alignment horizontal="left" vertical="top" wrapText="1"/>
    </xf>
    <xf numFmtId="0" fontId="17" fillId="4" borderId="5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46" fillId="6" borderId="5" xfId="0" applyFont="1" applyFill="1" applyBorder="1" applyAlignment="1">
      <alignment horizontal="left" vertical="top" wrapText="1"/>
    </xf>
    <xf numFmtId="0" fontId="46" fillId="6" borderId="0" xfId="0" applyFont="1" applyFill="1" applyBorder="1" applyAlignment="1">
      <alignment horizontal="left" vertical="top" wrapText="1"/>
    </xf>
    <xf numFmtId="0" fontId="26" fillId="0" borderId="0" xfId="0" applyFont="1" applyBorder="1" applyAlignment="1"/>
    <xf numFmtId="0" fontId="29" fillId="0" borderId="0" xfId="0" applyFont="1" applyBorder="1" applyAlignment="1"/>
    <xf numFmtId="0" fontId="45" fillId="5" borderId="0" xfId="0" applyFont="1" applyFill="1" applyBorder="1" applyAlignment="1"/>
    <xf numFmtId="0" fontId="9" fillId="5" borderId="0" xfId="0" applyFont="1" applyFill="1" applyBorder="1" applyAlignment="1">
      <alignment horizontal="left" vertical="top" wrapText="1"/>
    </xf>
    <xf numFmtId="0" fontId="16" fillId="4" borderId="0" xfId="0" applyFont="1" applyFill="1" applyBorder="1" applyAlignment="1"/>
    <xf numFmtId="0" fontId="9" fillId="6" borderId="0" xfId="0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3B3B3"/>
      <rgbColor rgb="FF6C757D"/>
      <rgbColor rgb="FF9999FF"/>
      <rgbColor rgb="FFC0504D"/>
      <rgbColor rgb="FFFFF8E1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E8F5E9"/>
      <rgbColor rgb="FFDEE2E6"/>
      <rgbColor rgb="FFFFF59D"/>
      <rgbColor rgb="FF99CCFF"/>
      <rgbColor rgb="FFFF99CC"/>
      <rgbColor rgb="FFCC99FF"/>
      <rgbColor rgb="FFFFEBEE"/>
      <rgbColor rgb="FF4F81BD"/>
      <rgbColor rgb="FF33CCCC"/>
      <rgbColor rgb="FF9BBB59"/>
      <rgbColor rgb="FFFFCC00"/>
      <rgbColor rgb="FFF9A825"/>
      <rgbColor rgb="FFFF6600"/>
      <rgbColor rgb="FF8064A2"/>
      <rgbColor rgb="FF969696"/>
      <rgbColor rgb="FF003366"/>
      <rgbColor rgb="FF388E3C"/>
      <rgbColor rgb="FF0D1B2A"/>
      <rgbColor rgb="FF333300"/>
      <rgbColor rgb="FFD32F2F"/>
      <rgbColor rgb="FF993366"/>
      <rgbColor rgb="FF1B4D89"/>
      <rgbColor rgb="FF495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Revenue &amp; Profitability Trend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Statement'!$C$41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'Income Statement'!$B$42:$B$44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Statement'!$C$42:$C$44</c:f>
              <c:numCache>
                <c:formatCode>#,##0</c:formatCode>
                <c:ptCount val="3"/>
                <c:pt idx="0">
                  <c:v>66045</c:v>
                </c:pt>
                <c:pt idx="1">
                  <c:v>67599</c:v>
                </c:pt>
                <c:pt idx="2">
                  <c:v>71126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E-1C47-BDFA-4D459634DFFF}"/>
            </c:ext>
          </c:extLst>
        </c:ser>
        <c:ser>
          <c:idx val="1"/>
          <c:order val="1"/>
          <c:tx>
            <c:strRef>
              <c:f>'Income Statement'!$D$41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'Income Statement'!$B$42:$B$44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Statement'!$D$42:$D$44</c:f>
              <c:numCache>
                <c:formatCode>#,##0</c:formatCode>
                <c:ptCount val="3"/>
                <c:pt idx="0">
                  <c:v>11391</c:v>
                </c:pt>
                <c:pt idx="1">
                  <c:v>11409</c:v>
                </c:pt>
                <c:pt idx="2">
                  <c:v>10089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E-1C47-BDFA-4D459634DFFF}"/>
            </c:ext>
          </c:extLst>
        </c:ser>
        <c:ser>
          <c:idx val="2"/>
          <c:order val="2"/>
          <c:tx>
            <c:strRef>
              <c:f>'Income Statement'!$E$41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'Income Statement'!$B$42:$B$44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Statement'!$E$42:$E$44</c:f>
              <c:numCache>
                <c:formatCode>#,##0</c:formatCode>
                <c:ptCount val="3"/>
                <c:pt idx="0">
                  <c:v>7303</c:v>
                </c:pt>
                <c:pt idx="1">
                  <c:v>9014</c:v>
                </c:pt>
                <c:pt idx="2">
                  <c:v>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E-1C47-BDFA-4D459634DFFF}"/>
            </c:ext>
          </c:extLst>
        </c:ser>
        <c:ser>
          <c:idx val="3"/>
          <c:order val="3"/>
          <c:tx>
            <c:strRef>
              <c:f>'Income Statement'!$F$41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'Income Statement'!$B$42:$B$44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Statement'!$F$42:$F$44</c:f>
              <c:numCache>
                <c:formatCode>#,##0</c:formatCode>
                <c:ptCount val="3"/>
                <c:pt idx="0">
                  <c:v>5732</c:v>
                </c:pt>
                <c:pt idx="1">
                  <c:v>6920</c:v>
                </c:pt>
                <c:pt idx="2">
                  <c:v>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E-1C47-BDFA-4D459634D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0262735"/>
        <c:axId val="81434662"/>
      </c:barChart>
      <c:catAx>
        <c:axId val="9026273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4662"/>
        <c:crosses val="autoZero"/>
        <c:auto val="1"/>
        <c:lblAlgn val="ctr"/>
        <c:lblOffset val="100"/>
        <c:noMultiLvlLbl val="0"/>
      </c:catAx>
      <c:valAx>
        <c:axId val="814346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USD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Margin Trends (2022-2024)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Statement'!$C$47</c:f>
              <c:strCache>
                <c:ptCount val="1"/>
                <c:pt idx="0">
                  <c:v>Gross Margin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Statement'!$B$48:$B$50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Statement'!$C$48:$C$50</c:f>
              <c:numCache>
                <c:formatCode>0.0%</c:formatCode>
                <c:ptCount val="3"/>
                <c:pt idx="0">
                  <c:v>0.17263275945683801</c:v>
                </c:pt>
                <c:pt idx="1">
                  <c:v>0.16884462269316719</c:v>
                </c:pt>
                <c:pt idx="2">
                  <c:v>0.14201258392804358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C8-2E45-BD97-DE206453242C}"/>
            </c:ext>
          </c:extLst>
        </c:ser>
        <c:ser>
          <c:idx val="1"/>
          <c:order val="1"/>
          <c:tx>
            <c:strRef>
              <c:f>'Income Statement'!$D$47</c:f>
              <c:strCache>
                <c:ptCount val="1"/>
                <c:pt idx="0">
                  <c:v>EBIT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Statement'!$B$48:$B$50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Statement'!$D$48:$D$50</c:f>
              <c:numCache>
                <c:formatCode>0.0%</c:formatCode>
                <c:ptCount val="3"/>
                <c:pt idx="0">
                  <c:v>0.11057612234082823</c:v>
                </c:pt>
                <c:pt idx="1">
                  <c:v>0.13334516782792644</c:v>
                </c:pt>
                <c:pt idx="2">
                  <c:v>0.10201614037060991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C8-2E45-BD97-DE206453242C}"/>
            </c:ext>
          </c:extLst>
        </c:ser>
        <c:ser>
          <c:idx val="2"/>
          <c:order val="2"/>
          <c:tx>
            <c:strRef>
              <c:f>'Income Statement'!$E$47</c:f>
              <c:strCache>
                <c:ptCount val="1"/>
                <c:pt idx="0">
                  <c:v>Net Margin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Statement'!$B$48:$B$50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'Income Statement'!$E$48:$E$50</c:f>
              <c:numCache>
                <c:formatCode>0.0%</c:formatCode>
                <c:ptCount val="3"/>
                <c:pt idx="0">
                  <c:v>8.6789310318722085E-2</c:v>
                </c:pt>
                <c:pt idx="1">
                  <c:v>0.1023683782304472</c:v>
                </c:pt>
                <c:pt idx="2">
                  <c:v>7.5021792312234631E-2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C8-2E45-BD97-DE20645324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72642449"/>
        <c:axId val="89656755"/>
      </c:lineChart>
      <c:catAx>
        <c:axId val="7264244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6755"/>
        <c:crosses val="autoZero"/>
        <c:auto val="1"/>
        <c:lblAlgn val="ctr"/>
        <c:lblOffset val="100"/>
        <c:noMultiLvlLbl val="0"/>
      </c:catAx>
      <c:valAx>
        <c:axId val="896567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24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Capital Structure Evolution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'Balance Sheet'!$Q$14</c:f>
              <c:strCache>
                <c:ptCount val="1"/>
                <c:pt idx="0">
                  <c:v>Equity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Sheet'!$P$15:$P$17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Sheet'!$Q$15:$Q$17</c:f>
              <c:numCache>
                <c:formatCode>#,##0</c:formatCode>
                <c:ptCount val="3"/>
                <c:pt idx="0">
                  <c:v>9266</c:v>
                </c:pt>
                <c:pt idx="1">
                  <c:v>6835</c:v>
                </c:pt>
                <c:pt idx="2">
                  <c:v>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8-0348-91B1-E03FAB224CE7}"/>
            </c:ext>
          </c:extLst>
        </c:ser>
        <c:ser>
          <c:idx val="1"/>
          <c:order val="1"/>
          <c:tx>
            <c:strRef>
              <c:f>'Balance Sheet'!$R$14</c:f>
              <c:strCache>
                <c:ptCount val="1"/>
                <c:pt idx="0">
                  <c:v>LT Debt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Sheet'!$P$15:$P$17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Sheet'!$R$15:$R$17</c:f>
              <c:numCache>
                <c:formatCode>#,##0</c:formatCode>
                <c:ptCount val="3"/>
                <c:pt idx="0">
                  <c:v>15429</c:v>
                </c:pt>
                <c:pt idx="1">
                  <c:v>17291</c:v>
                </c:pt>
                <c:pt idx="2">
                  <c:v>19627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8-0348-91B1-E03FAB224CE7}"/>
            </c:ext>
          </c:extLst>
        </c:ser>
        <c:ser>
          <c:idx val="2"/>
          <c:order val="2"/>
          <c:tx>
            <c:strRef>
              <c:f>'Balance Sheet'!$S$14</c:f>
              <c:strCache>
                <c:ptCount val="1"/>
                <c:pt idx="0">
                  <c:v>ST Debt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Sheet'!$P$15:$P$17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Sheet'!$S$15:$S$17</c:f>
              <c:numCache>
                <c:formatCode>#,##0</c:formatCode>
                <c:ptCount val="3"/>
                <c:pt idx="0">
                  <c:v>0</c:v>
                </c:pt>
                <c:pt idx="1">
                  <c:v>168</c:v>
                </c:pt>
                <c:pt idx="2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8-0348-91B1-E03FAB224CE7}"/>
            </c:ext>
          </c:extLst>
        </c:ser>
        <c:ser>
          <c:idx val="3"/>
          <c:order val="3"/>
          <c:tx>
            <c:strRef>
              <c:f>'Balance Sheet'!$T$14</c:f>
              <c:strCache>
                <c:ptCount val="1"/>
                <c:pt idx="0">
                  <c:v>Other Liab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Sheet'!$P$15:$P$17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Sheet'!$T$15:$T$17</c:f>
              <c:numCache>
                <c:formatCode>#,##0</c:formatCode>
                <c:ptCount val="3"/>
                <c:pt idx="0">
                  <c:v>28185</c:v>
                </c:pt>
                <c:pt idx="1">
                  <c:v>28162</c:v>
                </c:pt>
                <c:pt idx="2">
                  <c:v>29014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C8-0348-91B1-E03FAB224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41332"/>
        <c:axId val="73050279"/>
      </c:barChart>
      <c:catAx>
        <c:axId val="749413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279"/>
        <c:crosses val="autoZero"/>
        <c:auto val="1"/>
        <c:lblAlgn val="ctr"/>
        <c:lblOffset val="100"/>
        <c:noMultiLvlLbl val="0"/>
      </c:catAx>
      <c:valAx>
        <c:axId val="7305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USD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1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Asset Composition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'Balance Sheet'!$X$14</c:f>
              <c:strCache>
                <c:ptCount val="1"/>
                <c:pt idx="0">
                  <c:v>PP&amp;E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Sheet'!$W$15:$W$17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Sheet'!$X$15:$X$17</c:f>
              <c:numCache>
                <c:formatCode>#,##0</c:formatCode>
                <c:ptCount val="3"/>
                <c:pt idx="0">
                  <c:v>7975</c:v>
                </c:pt>
                <c:pt idx="1">
                  <c:v>8370</c:v>
                </c:pt>
                <c:pt idx="2">
                  <c:v>8726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3-1D41-84E9-461900444126}"/>
            </c:ext>
          </c:extLst>
        </c:ser>
        <c:ser>
          <c:idx val="1"/>
          <c:order val="1"/>
          <c:tx>
            <c:strRef>
              <c:f>'Balance Sheet'!$Y$14</c:f>
              <c:strCache>
                <c:ptCount val="1"/>
                <c:pt idx="0">
                  <c:v>Intangibles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Sheet'!$W$15:$W$17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Sheet'!$Y$15:$Y$17</c:f>
              <c:numCache>
                <c:formatCode>#,##0</c:formatCode>
                <c:ptCount val="3"/>
                <c:pt idx="0">
                  <c:v>14158</c:v>
                </c:pt>
                <c:pt idx="1">
                  <c:v>14411</c:v>
                </c:pt>
                <c:pt idx="2">
                  <c:v>14982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3-1D41-84E9-461900444126}"/>
            </c:ext>
          </c:extLst>
        </c:ser>
        <c:ser>
          <c:idx val="2"/>
          <c:order val="2"/>
          <c:tx>
            <c:strRef>
              <c:f>'Balance Sheet'!$Z$14</c:f>
              <c:strCache>
                <c:ptCount val="1"/>
                <c:pt idx="0">
                  <c:v>Other NCA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Sheet'!$W$15:$W$17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Sheet'!$Z$15:$Z$17</c:f>
              <c:numCache>
                <c:formatCode>#,##0</c:formatCode>
                <c:ptCount val="3"/>
                <c:pt idx="0">
                  <c:v>9756</c:v>
                </c:pt>
                <c:pt idx="1">
                  <c:v>9154</c:v>
                </c:pt>
                <c:pt idx="2">
                  <c:v>10060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3-1D41-84E9-461900444126}"/>
            </c:ext>
          </c:extLst>
        </c:ser>
        <c:ser>
          <c:idx val="3"/>
          <c:order val="3"/>
          <c:tx>
            <c:strRef>
              <c:f>'Balance Sheet'!$AA$14</c:f>
              <c:strCache>
                <c:ptCount val="1"/>
                <c:pt idx="0">
                  <c:v>Current Assets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Sheet'!$W$15:$W$17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'Balance Sheet'!$AA$15:$AA$17</c:f>
              <c:numCache>
                <c:formatCode>#,##0</c:formatCode>
                <c:ptCount val="3"/>
                <c:pt idx="0">
                  <c:v>20991</c:v>
                </c:pt>
                <c:pt idx="1">
                  <c:v>20521</c:v>
                </c:pt>
                <c:pt idx="2">
                  <c:v>21849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63-1D41-84E9-46190044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786313"/>
        <c:axId val="78621965"/>
      </c:barChart>
      <c:catAx>
        <c:axId val="4378631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21965"/>
        <c:crosses val="autoZero"/>
        <c:auto val="1"/>
        <c:lblAlgn val="ctr"/>
        <c:lblOffset val="100"/>
        <c:noMultiLvlLbl val="0"/>
      </c:catAx>
      <c:valAx>
        <c:axId val="78621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86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Cash Conversion Cycle Components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'Efficiency &amp; Cash Flow'!$K$5</c:f>
              <c:strCache>
                <c:ptCount val="1"/>
                <c:pt idx="0">
                  <c:v>DIO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Flow'!$J$6:$J$8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Flow'!$K$6:$K$8</c:f>
              <c:numCache>
                <c:formatCode>0.0</c:formatCode>
                <c:ptCount val="3"/>
                <c:pt idx="0">
                  <c:v>20.645870349678532</c:v>
                </c:pt>
                <c:pt idx="1">
                  <c:v>20.35504433602792</c:v>
                </c:pt>
                <c:pt idx="2">
                  <c:v>20.802736489811991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7741-884C-B3D3E5A0DA98}"/>
            </c:ext>
          </c:extLst>
        </c:ser>
        <c:ser>
          <c:idx val="1"/>
          <c:order val="1"/>
          <c:tx>
            <c:strRef>
              <c:f>'Efficiency &amp; Cash Flow'!$L$5</c:f>
              <c:strCache>
                <c:ptCount val="1"/>
                <c:pt idx="0">
                  <c:v>DSO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Flow'!$J$6:$J$8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Flow'!$L$6:$L$8</c:f>
              <c:numCache>
                <c:formatCode>0.0</c:formatCode>
                <c:ptCount val="3"/>
                <c:pt idx="0">
                  <c:v>13.843970020440608</c:v>
                </c:pt>
                <c:pt idx="1">
                  <c:v>11.511708753088064</c:v>
                </c:pt>
                <c:pt idx="2">
                  <c:v>12.064716137558699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A-7741-884C-B3D3E5A0DA98}"/>
            </c:ext>
          </c:extLst>
        </c:ser>
        <c:ser>
          <c:idx val="2"/>
          <c:order val="2"/>
          <c:tx>
            <c:strRef>
              <c:f>'Efficiency &amp; Cash Flow'!$M$5</c:f>
              <c:strCache>
                <c:ptCount val="1"/>
                <c:pt idx="0">
                  <c:v>DPO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Flow'!$J$6:$J$8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Flow'!$M$6:$M$8</c:f>
              <c:numCache>
                <c:formatCode>0.0</c:formatCode>
                <c:ptCount val="3"/>
                <c:pt idx="0">
                  <c:v>14.153920832341141</c:v>
                </c:pt>
                <c:pt idx="1">
                  <c:v>15.025818168868629</c:v>
                </c:pt>
                <c:pt idx="2">
                  <c:v>13.305607507300587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A-7741-884C-B3D3E5A0DA98}"/>
            </c:ext>
          </c:extLst>
        </c:ser>
        <c:ser>
          <c:idx val="3"/>
          <c:order val="3"/>
          <c:tx>
            <c:strRef>
              <c:f>'Efficiency &amp; Cash Flow'!$N$5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Flow'!$J$6:$J$8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Flow'!$N$6:$N$8</c:f>
              <c:numCache>
                <c:formatCode>0.0</c:formatCode>
                <c:ptCount val="3"/>
                <c:pt idx="0">
                  <c:v>20.335919537777997</c:v>
                </c:pt>
                <c:pt idx="1">
                  <c:v>16.840934920247353</c:v>
                </c:pt>
                <c:pt idx="2">
                  <c:v>19.561845120070103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A-7741-884C-B3D3E5A0D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24793"/>
        <c:axId val="83941176"/>
      </c:barChart>
      <c:catAx>
        <c:axId val="42424793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41176"/>
        <c:crosses val="autoZero"/>
        <c:auto val="1"/>
        <c:lblAlgn val="ctr"/>
        <c:lblOffset val="100"/>
        <c:noMultiLvlLbl val="0"/>
      </c:catAx>
      <c:valAx>
        <c:axId val="839411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24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Cash Flow Quality: OCF vs FCF vs Net Income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'Efficiency &amp; Cash Flow'!$K$25</c:f>
              <c:strCache>
                <c:ptCount val="1"/>
                <c:pt idx="0">
                  <c:v>OCF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Flow'!$J$26:$J$28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Flow'!$K$26:$K$28</c:f>
              <c:numCache>
                <c:formatCode>#,##0</c:formatCode>
                <c:ptCount val="3"/>
                <c:pt idx="0">
                  <c:v>7802</c:v>
                </c:pt>
                <c:pt idx="1">
                  <c:v>7920</c:v>
                </c:pt>
                <c:pt idx="2">
                  <c:v>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C-2F4D-AAF4-E80B56CB31DD}"/>
            </c:ext>
          </c:extLst>
        </c:ser>
        <c:ser>
          <c:idx val="1"/>
          <c:order val="1"/>
          <c:tx>
            <c:strRef>
              <c:f>'Efficiency &amp; Cash Flow'!$L$25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Flow'!$J$26:$J$28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Flow'!$L$26:$L$28</c:f>
              <c:numCache>
                <c:formatCode>#,##0</c:formatCode>
                <c:ptCount val="3"/>
                <c:pt idx="0">
                  <c:v>6132</c:v>
                </c:pt>
                <c:pt idx="1">
                  <c:v>6229</c:v>
                </c:pt>
                <c:pt idx="2">
                  <c:v>5287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C-2F4D-AAF4-E80B56CB31DD}"/>
            </c:ext>
          </c:extLst>
        </c:ser>
        <c:ser>
          <c:idx val="2"/>
          <c:order val="2"/>
          <c:tx>
            <c:strRef>
              <c:f>'Efficiency &amp; Cash Flow'!$M$25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'Efficiency &amp; Cash Flow'!$J$26:$J$28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'Efficiency &amp; Cash Flow'!$M$26:$M$28</c:f>
              <c:numCache>
                <c:formatCode>#,##0</c:formatCode>
                <c:ptCount val="3"/>
                <c:pt idx="0">
                  <c:v>5732</c:v>
                </c:pt>
                <c:pt idx="1">
                  <c:v>6920</c:v>
                </c:pt>
                <c:pt idx="2">
                  <c:v>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CC-2F4D-AAF4-E80B56CB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80255"/>
        <c:axId val="10511218"/>
      </c:barChart>
      <c:catAx>
        <c:axId val="62280255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11218"/>
        <c:crosses val="autoZero"/>
        <c:auto val="1"/>
        <c:lblAlgn val="ctr"/>
        <c:lblOffset val="100"/>
        <c:noMultiLvlLbl val="0"/>
      </c:catAx>
      <c:valAx>
        <c:axId val="105112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80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54</xdr:row>
      <xdr:rowOff>152400</xdr:rowOff>
    </xdr:from>
    <xdr:to>
      <xdr:col>5</xdr:col>
      <xdr:colOff>4460</xdr:colOff>
      <xdr:row>75</xdr:row>
      <xdr:rowOff>89480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38100</xdr:colOff>
      <xdr:row>54</xdr:row>
      <xdr:rowOff>152400</xdr:rowOff>
    </xdr:from>
    <xdr:to>
      <xdr:col>13</xdr:col>
      <xdr:colOff>138020</xdr:colOff>
      <xdr:row>75</xdr:row>
      <xdr:rowOff>108620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557335</xdr:colOff>
      <xdr:row>20</xdr:row>
      <xdr:rowOff>91807</xdr:rowOff>
    </xdr:from>
    <xdr:to>
      <xdr:col>21</xdr:col>
      <xdr:colOff>203759</xdr:colOff>
      <xdr:row>40</xdr:row>
      <xdr:rowOff>161659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27820</xdr:colOff>
      <xdr:row>20</xdr:row>
      <xdr:rowOff>114528</xdr:rowOff>
    </xdr:from>
    <xdr:to>
      <xdr:col>31</xdr:col>
      <xdr:colOff>291393</xdr:colOff>
      <xdr:row>41</xdr:row>
      <xdr:rowOff>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431800</xdr:colOff>
      <xdr:row>0</xdr:row>
      <xdr:rowOff>145660</xdr:rowOff>
    </xdr:from>
    <xdr:to>
      <xdr:col>22</xdr:col>
      <xdr:colOff>579720</xdr:colOff>
      <xdr:row>12</xdr:row>
      <xdr:rowOff>40407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508000</xdr:colOff>
      <xdr:row>23</xdr:row>
      <xdr:rowOff>280640</xdr:rowOff>
    </xdr:from>
    <xdr:to>
      <xdr:col>22</xdr:col>
      <xdr:colOff>655920</xdr:colOff>
      <xdr:row>34</xdr:row>
      <xdr:rowOff>160300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8"/>
  <sheetViews>
    <sheetView showGridLines="0" zoomScale="125" zoomScaleNormal="125" workbookViewId="0">
      <selection activeCell="D19" sqref="D19"/>
    </sheetView>
  </sheetViews>
  <sheetFormatPr baseColWidth="10" defaultColWidth="8.6640625" defaultRowHeight="15" x14ac:dyDescent="0.2"/>
  <cols>
    <col min="1" max="11" width="14" style="1" customWidth="1"/>
  </cols>
  <sheetData>
    <row r="3" spans="2:10" ht="38.25" customHeight="1" x14ac:dyDescent="0.2">
      <c r="B3" s="118" t="s">
        <v>0</v>
      </c>
      <c r="C3" s="118"/>
      <c r="D3" s="118"/>
      <c r="E3" s="118"/>
      <c r="F3" s="118"/>
      <c r="G3" s="118"/>
      <c r="H3" s="118"/>
      <c r="I3" s="118"/>
      <c r="J3" s="118"/>
    </row>
    <row r="4" spans="2:10" ht="17.25" customHeight="1" x14ac:dyDescent="0.2">
      <c r="B4" s="119" t="s">
        <v>1</v>
      </c>
      <c r="C4" s="119"/>
      <c r="D4" s="119"/>
      <c r="E4" s="119"/>
      <c r="F4" s="119"/>
      <c r="G4" s="119"/>
      <c r="H4" s="119"/>
      <c r="I4" s="119"/>
      <c r="J4" s="119"/>
    </row>
    <row r="6" spans="2:10" ht="24" customHeight="1" x14ac:dyDescent="0.2">
      <c r="B6" s="120" t="s">
        <v>2</v>
      </c>
      <c r="C6" s="120"/>
      <c r="D6" s="120"/>
      <c r="E6" s="120"/>
      <c r="F6" s="120"/>
      <c r="G6" s="120"/>
      <c r="H6" s="120"/>
      <c r="I6" s="120"/>
      <c r="J6" s="120"/>
    </row>
    <row r="7" spans="2:10" ht="15" customHeight="1" x14ac:dyDescent="0.2">
      <c r="B7" s="121" t="s">
        <v>3</v>
      </c>
      <c r="C7" s="121"/>
      <c r="D7" s="121"/>
      <c r="E7" s="121"/>
      <c r="F7" s="121"/>
      <c r="G7" s="121"/>
      <c r="H7" s="121"/>
      <c r="I7" s="121"/>
      <c r="J7" s="121"/>
    </row>
    <row r="10" spans="2:10" ht="17.25" customHeight="1" x14ac:dyDescent="0.2">
      <c r="B10" s="122" t="s">
        <v>4</v>
      </c>
      <c r="C10" s="122"/>
      <c r="D10" s="122"/>
      <c r="E10" s="122"/>
      <c r="G10" s="122" t="s">
        <v>5</v>
      </c>
      <c r="H10" s="122"/>
      <c r="I10" s="122"/>
      <c r="J10" s="122"/>
    </row>
    <row r="11" spans="2:10" ht="15" customHeight="1" x14ac:dyDescent="0.2">
      <c r="B11" s="2" t="s">
        <v>6</v>
      </c>
      <c r="D11" s="123" t="s">
        <v>7</v>
      </c>
      <c r="E11" s="123"/>
      <c r="G11" s="3" t="s">
        <v>8</v>
      </c>
      <c r="I11" s="124" t="s">
        <v>9</v>
      </c>
      <c r="J11" s="124"/>
    </row>
    <row r="12" spans="2:10" ht="15" customHeight="1" x14ac:dyDescent="0.2">
      <c r="B12" s="2" t="s">
        <v>10</v>
      </c>
      <c r="D12" s="123" t="s">
        <v>11</v>
      </c>
      <c r="E12" s="123"/>
      <c r="G12" s="3" t="s">
        <v>12</v>
      </c>
      <c r="I12" s="124" t="s">
        <v>13</v>
      </c>
      <c r="J12" s="124"/>
    </row>
    <row r="13" spans="2:10" ht="15" customHeight="1" x14ac:dyDescent="0.2">
      <c r="B13" s="2" t="s">
        <v>14</v>
      </c>
      <c r="D13" s="123" t="s">
        <v>15</v>
      </c>
      <c r="E13" s="123"/>
      <c r="G13" s="3" t="s">
        <v>16</v>
      </c>
      <c r="I13" s="124" t="s">
        <v>17</v>
      </c>
      <c r="J13" s="124"/>
    </row>
    <row r="14" spans="2:10" ht="15" customHeight="1" x14ac:dyDescent="0.2">
      <c r="B14" s="2" t="s">
        <v>18</v>
      </c>
      <c r="D14" s="123" t="s">
        <v>19</v>
      </c>
      <c r="E14" s="123"/>
      <c r="G14" s="3" t="s">
        <v>20</v>
      </c>
      <c r="I14" s="124" t="s">
        <v>21</v>
      </c>
      <c r="J14" s="124"/>
    </row>
    <row r="15" spans="2:10" ht="15" customHeight="1" x14ac:dyDescent="0.2">
      <c r="B15" s="2" t="s">
        <v>22</v>
      </c>
      <c r="D15" s="123" t="s">
        <v>23</v>
      </c>
      <c r="E15" s="123"/>
      <c r="G15" s="3" t="s">
        <v>24</v>
      </c>
      <c r="I15" s="124" t="s">
        <v>25</v>
      </c>
      <c r="J15" s="124"/>
    </row>
    <row r="16" spans="2:10" ht="15" customHeight="1" x14ac:dyDescent="0.2">
      <c r="B16" s="2" t="s">
        <v>26</v>
      </c>
      <c r="D16" s="123" t="s">
        <v>27</v>
      </c>
      <c r="E16" s="123"/>
      <c r="G16" s="3" t="s">
        <v>28</v>
      </c>
      <c r="I16" s="124" t="s">
        <v>29</v>
      </c>
      <c r="J16" s="124"/>
    </row>
    <row r="17" spans="2:10" ht="15" customHeight="1" x14ac:dyDescent="0.2">
      <c r="B17" s="2" t="s">
        <v>30</v>
      </c>
      <c r="D17" s="123" t="s">
        <v>31</v>
      </c>
      <c r="E17" s="123"/>
      <c r="G17" s="3" t="s">
        <v>32</v>
      </c>
      <c r="I17" s="124" t="s">
        <v>33</v>
      </c>
      <c r="J17" s="124"/>
    </row>
    <row r="20" spans="2:10" ht="15" customHeight="1" x14ac:dyDescent="0.2">
      <c r="B20" s="126" t="s">
        <v>34</v>
      </c>
      <c r="C20" s="126"/>
      <c r="D20" s="126"/>
      <c r="E20" s="126"/>
      <c r="F20" s="126"/>
      <c r="G20" s="126"/>
      <c r="H20" s="126"/>
      <c r="I20" s="126"/>
      <c r="J20" s="126"/>
    </row>
    <row r="21" spans="2:10" ht="15" customHeight="1" x14ac:dyDescent="0.2">
      <c r="B21" s="125" t="s">
        <v>35</v>
      </c>
      <c r="C21" s="125"/>
      <c r="D21" s="125"/>
      <c r="E21" s="125"/>
      <c r="F21" s="125"/>
      <c r="G21" s="125"/>
      <c r="H21" s="125"/>
      <c r="I21" s="125"/>
      <c r="J21" s="125"/>
    </row>
    <row r="22" spans="2:10" ht="15" customHeight="1" x14ac:dyDescent="0.2">
      <c r="B22" s="125" t="s">
        <v>36</v>
      </c>
      <c r="C22" s="125"/>
      <c r="D22" s="125"/>
      <c r="E22" s="125"/>
      <c r="F22" s="125"/>
      <c r="G22" s="125"/>
      <c r="H22" s="125"/>
      <c r="I22" s="125"/>
      <c r="J22" s="125"/>
    </row>
    <row r="23" spans="2:10" ht="15" customHeight="1" x14ac:dyDescent="0.2">
      <c r="B23" s="125" t="s">
        <v>37</v>
      </c>
      <c r="C23" s="125"/>
      <c r="D23" s="125"/>
      <c r="E23" s="125"/>
      <c r="F23" s="125"/>
      <c r="G23" s="125"/>
      <c r="H23" s="125"/>
      <c r="I23" s="125"/>
      <c r="J23" s="125"/>
    </row>
    <row r="24" spans="2:10" ht="15" customHeight="1" x14ac:dyDescent="0.2">
      <c r="B24" s="125" t="s">
        <v>38</v>
      </c>
      <c r="C24" s="125"/>
      <c r="D24" s="125"/>
      <c r="E24" s="125"/>
      <c r="F24" s="125"/>
      <c r="G24" s="125"/>
      <c r="H24" s="125"/>
      <c r="I24" s="125"/>
      <c r="J24" s="125"/>
    </row>
    <row r="26" spans="2:10" ht="15" customHeight="1" x14ac:dyDescent="0.2">
      <c r="B26" s="126"/>
      <c r="C26" s="126"/>
      <c r="D26" s="126"/>
      <c r="E26" s="126"/>
      <c r="F26" s="126"/>
      <c r="G26" s="126"/>
      <c r="H26" s="126"/>
      <c r="I26" s="126"/>
      <c r="J26" s="126"/>
    </row>
    <row r="27" spans="2:10" ht="15" customHeight="1" x14ac:dyDescent="0.2">
      <c r="B27" s="5"/>
      <c r="C27" s="6"/>
      <c r="E27" s="7"/>
      <c r="F27" s="6"/>
      <c r="H27" s="8"/>
      <c r="I27" s="6"/>
    </row>
    <row r="28" spans="2:10" ht="15" customHeight="1" x14ac:dyDescent="0.2">
      <c r="C28" s="6"/>
      <c r="F28" s="6"/>
      <c r="I28" s="6"/>
    </row>
  </sheetData>
  <mergeCells count="26">
    <mergeCell ref="B23:J23"/>
    <mergeCell ref="B24:J24"/>
    <mergeCell ref="B26:J26"/>
    <mergeCell ref="D17:E17"/>
    <mergeCell ref="I17:J17"/>
    <mergeCell ref="B20:J20"/>
    <mergeCell ref="B21:J21"/>
    <mergeCell ref="B22:J22"/>
    <mergeCell ref="D14:E14"/>
    <mergeCell ref="I14:J14"/>
    <mergeCell ref="D15:E15"/>
    <mergeCell ref="I15:J15"/>
    <mergeCell ref="D16:E16"/>
    <mergeCell ref="I16:J16"/>
    <mergeCell ref="D11:E11"/>
    <mergeCell ref="I11:J11"/>
    <mergeCell ref="D12:E12"/>
    <mergeCell ref="I12:J12"/>
    <mergeCell ref="D13:E13"/>
    <mergeCell ref="I13:J13"/>
    <mergeCell ref="B3:J3"/>
    <mergeCell ref="B4:J4"/>
    <mergeCell ref="B6:J6"/>
    <mergeCell ref="B7:J7"/>
    <mergeCell ref="B10:E10"/>
    <mergeCell ref="G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0"/>
  <sheetViews>
    <sheetView showGridLines="0" topLeftCell="A39" zoomScale="93" zoomScaleNormal="100" workbookViewId="0">
      <selection activeCell="C16" sqref="C16"/>
    </sheetView>
  </sheetViews>
  <sheetFormatPr baseColWidth="10" defaultColWidth="8.6640625" defaultRowHeight="15" x14ac:dyDescent="0.2"/>
  <cols>
    <col min="1" max="1" width="3" style="1" customWidth="1"/>
    <col min="2" max="2" width="42" style="1" customWidth="1"/>
    <col min="3" max="6" width="14" style="1" customWidth="1"/>
    <col min="7" max="7" width="3" style="1" customWidth="1"/>
    <col min="8" max="9" width="12" style="1" customWidth="1"/>
    <col min="10" max="10" width="3" style="1" customWidth="1"/>
    <col min="11" max="11" width="35" style="1" customWidth="1"/>
    <col min="13" max="15" width="10" customWidth="1"/>
    <col min="16" max="16" width="16.1640625" style="1" customWidth="1"/>
    <col min="17" max="17" width="12.33203125" style="1" customWidth="1"/>
    <col min="18" max="18" width="12.1640625" style="1" customWidth="1"/>
  </cols>
  <sheetData>
    <row r="2" spans="2:21" ht="21.75" customHeight="1" x14ac:dyDescent="0.25">
      <c r="B2" s="127" t="s">
        <v>39</v>
      </c>
      <c r="C2" s="127"/>
      <c r="D2" s="127"/>
      <c r="E2" s="127"/>
      <c r="F2" s="127"/>
    </row>
    <row r="3" spans="2:21" ht="15" customHeight="1" x14ac:dyDescent="0.2">
      <c r="B3" s="125" t="s">
        <v>40</v>
      </c>
      <c r="C3" s="125"/>
      <c r="D3" s="125"/>
      <c r="E3" s="125"/>
      <c r="F3" s="125"/>
    </row>
    <row r="4" spans="2:21" x14ac:dyDescent="0.2">
      <c r="N4" s="9" t="s">
        <v>41</v>
      </c>
    </row>
    <row r="5" spans="2:21" ht="15" customHeight="1" x14ac:dyDescent="0.2">
      <c r="B5" s="10" t="s">
        <v>42</v>
      </c>
      <c r="C5" s="10" t="s">
        <v>43</v>
      </c>
      <c r="D5" s="10" t="s">
        <v>44</v>
      </c>
      <c r="E5" s="10" t="s">
        <v>45</v>
      </c>
      <c r="F5" s="10" t="s">
        <v>46</v>
      </c>
      <c r="H5" s="11" t="s">
        <v>47</v>
      </c>
      <c r="I5" s="11" t="s">
        <v>48</v>
      </c>
      <c r="K5" s="11" t="s">
        <v>427</v>
      </c>
      <c r="M5" s="12" t="s">
        <v>43</v>
      </c>
      <c r="N5" s="12" t="s">
        <v>44</v>
      </c>
      <c r="O5" s="12" t="s">
        <v>45</v>
      </c>
    </row>
    <row r="6" spans="2:21" ht="15" customHeight="1" x14ac:dyDescent="0.2">
      <c r="C6" s="13"/>
      <c r="D6" s="13"/>
      <c r="E6" s="13"/>
      <c r="F6" s="13"/>
      <c r="P6"/>
      <c r="S6" s="1"/>
      <c r="T6" s="1"/>
      <c r="U6" s="1"/>
    </row>
    <row r="7" spans="2:21" ht="17.25" customHeight="1" x14ac:dyDescent="0.2">
      <c r="B7" s="14" t="s">
        <v>49</v>
      </c>
      <c r="C7" s="15"/>
      <c r="D7" s="15"/>
      <c r="E7" s="15"/>
      <c r="F7" s="15"/>
      <c r="P7"/>
      <c r="S7" s="1"/>
      <c r="T7" s="1"/>
      <c r="U7" s="1"/>
    </row>
    <row r="8" spans="2:21" ht="15" customHeight="1" x14ac:dyDescent="0.2">
      <c r="B8" s="4" t="s">
        <v>54</v>
      </c>
      <c r="C8" s="16">
        <v>71043</v>
      </c>
      <c r="D8" s="16">
        <v>67571</v>
      </c>
      <c r="E8" s="16">
        <v>65984</v>
      </c>
      <c r="F8" s="16">
        <v>67044</v>
      </c>
      <c r="H8" s="17"/>
      <c r="K8" s="18" t="s">
        <v>55</v>
      </c>
      <c r="M8" s="19">
        <f>(C8/C$10)</f>
        <v>0.99883305682872647</v>
      </c>
      <c r="N8" s="19">
        <f t="shared" ref="N8:O8" si="0">(D8/D$10)</f>
        <v>0.99958579268924097</v>
      </c>
      <c r="O8" s="19">
        <f t="shared" si="0"/>
        <v>0.99907638731168147</v>
      </c>
      <c r="S8" s="1"/>
      <c r="T8" s="1"/>
      <c r="U8" s="1"/>
    </row>
    <row r="9" spans="2:21" ht="15" customHeight="1" x14ac:dyDescent="0.2">
      <c r="B9" s="4" t="s">
        <v>56</v>
      </c>
      <c r="C9" s="16">
        <v>83</v>
      </c>
      <c r="D9" s="16">
        <v>28</v>
      </c>
      <c r="E9" s="16">
        <v>61</v>
      </c>
      <c r="F9" s="16">
        <v>62</v>
      </c>
      <c r="H9" s="17"/>
      <c r="K9" s="18" t="s">
        <v>57</v>
      </c>
      <c r="M9" s="19">
        <f>(C9/C$10)</f>
        <v>1.1669431712735146E-3</v>
      </c>
      <c r="N9" s="19">
        <f t="shared" ref="N9:O9" si="1">(D9/D$10)</f>
        <v>4.1420731075903492E-4</v>
      </c>
      <c r="O9" s="19">
        <f t="shared" si="1"/>
        <v>9.2361268831857063E-4</v>
      </c>
      <c r="S9" s="1"/>
      <c r="T9" s="1"/>
      <c r="U9" s="1"/>
    </row>
    <row r="10" spans="2:21" ht="15" customHeight="1" x14ac:dyDescent="0.2">
      <c r="B10" s="4" t="s">
        <v>58</v>
      </c>
      <c r="C10" s="21">
        <f>C8+C9</f>
        <v>71126</v>
      </c>
      <c r="D10" s="21">
        <f>D8+D9</f>
        <v>67599</v>
      </c>
      <c r="E10" s="21">
        <f>E8+E9</f>
        <v>66045</v>
      </c>
      <c r="F10" s="21">
        <f>F8+F9</f>
        <v>67106</v>
      </c>
      <c r="H10" s="22">
        <f>(C10-D10)/ABS(D10)</f>
        <v>5.2175328037397002E-2</v>
      </c>
      <c r="I10" s="22">
        <f>((C10/E10)^(1/2)-1)</f>
        <v>3.7753532675005363E-2</v>
      </c>
      <c r="K10" s="18" t="s">
        <v>59</v>
      </c>
      <c r="M10" s="19">
        <v>1</v>
      </c>
      <c r="N10" s="19">
        <v>1</v>
      </c>
      <c r="O10" s="19">
        <v>1</v>
      </c>
      <c r="S10" s="1"/>
      <c r="T10" s="1"/>
      <c r="U10" s="1"/>
    </row>
    <row r="11" spans="2:21" ht="15" customHeight="1" x14ac:dyDescent="0.2">
      <c r="C11" s="13"/>
      <c r="D11" s="13"/>
      <c r="E11" s="13"/>
      <c r="F11" s="13"/>
      <c r="S11" s="1"/>
      <c r="T11" s="1"/>
      <c r="U11" s="1"/>
    </row>
    <row r="12" spans="2:21" ht="17.25" customHeight="1" x14ac:dyDescent="0.2">
      <c r="B12" s="14" t="s">
        <v>60</v>
      </c>
      <c r="C12" s="15"/>
      <c r="D12" s="15"/>
      <c r="E12" s="15"/>
      <c r="F12" s="15"/>
      <c r="S12" s="1"/>
      <c r="T12" s="1"/>
      <c r="U12" s="1"/>
    </row>
    <row r="13" spans="2:21" ht="15" customHeight="1" x14ac:dyDescent="0.2">
      <c r="B13" s="4" t="s">
        <v>61</v>
      </c>
      <c r="C13" s="16">
        <v>-60954</v>
      </c>
      <c r="D13" s="16">
        <v>-56162</v>
      </c>
      <c r="E13" s="16">
        <v>-54593</v>
      </c>
      <c r="F13" s="16">
        <v>-55119</v>
      </c>
      <c r="H13" s="22">
        <f>(C13-D13)/ABS(D13)</f>
        <v>-8.5324596702396643E-2</v>
      </c>
      <c r="I13" s="22">
        <f>((C13/E13)^(1/2)-1)</f>
        <v>5.6653571209225317E-2</v>
      </c>
      <c r="K13" s="18" t="s">
        <v>62</v>
      </c>
      <c r="M13" s="19">
        <f>(-C13/C$10)</f>
        <v>0.85698619351573269</v>
      </c>
      <c r="N13" s="19">
        <f t="shared" ref="N13:O13" si="2">(-D13/D$10)</f>
        <v>0.83081110667317559</v>
      </c>
      <c r="O13" s="19">
        <f t="shared" si="2"/>
        <v>0.82660307366189723</v>
      </c>
      <c r="S13" s="1"/>
      <c r="T13" s="1"/>
      <c r="U13" s="1"/>
    </row>
    <row r="14" spans="2:21" ht="15" customHeight="1" x14ac:dyDescent="0.2">
      <c r="C14" s="23"/>
      <c r="D14" s="13"/>
      <c r="E14" s="13"/>
      <c r="F14" s="13"/>
      <c r="P14"/>
      <c r="S14" s="1"/>
      <c r="T14" s="1"/>
      <c r="U14" s="1"/>
    </row>
    <row r="15" spans="2:21" ht="15" customHeight="1" x14ac:dyDescent="0.2">
      <c r="B15" s="24" t="s">
        <v>63</v>
      </c>
      <c r="C15" s="25">
        <f>C8+C13</f>
        <v>10089</v>
      </c>
      <c r="D15" s="25">
        <f>D8+D13</f>
        <v>11409</v>
      </c>
      <c r="E15" s="25">
        <f>E8+E13</f>
        <v>11391</v>
      </c>
      <c r="F15" s="25">
        <f>F8+F13</f>
        <v>11925</v>
      </c>
      <c r="H15" s="22">
        <f>((C15-D15)/ABS(D15))</f>
        <v>-0.11569813305285301</v>
      </c>
      <c r="I15" s="22">
        <f>(C15/E15)^(1/2)-1</f>
        <v>-5.8884047399505479E-2</v>
      </c>
      <c r="K15" s="26" t="s">
        <v>435</v>
      </c>
      <c r="M15" s="19">
        <f>(C15/C$10)</f>
        <v>0.14184686331299384</v>
      </c>
      <c r="N15" s="19">
        <f t="shared" ref="N15:O15" si="3">(D15/D$10)</f>
        <v>0.16877468601606532</v>
      </c>
      <c r="O15" s="19">
        <f t="shared" si="3"/>
        <v>0.17247331364978424</v>
      </c>
      <c r="S15" s="1"/>
      <c r="T15" s="1"/>
      <c r="U15" s="1"/>
    </row>
    <row r="16" spans="2:21" ht="15" customHeight="1" x14ac:dyDescent="0.2">
      <c r="B16" s="27" t="s">
        <v>66</v>
      </c>
      <c r="C16" s="28">
        <f>C15/C8</f>
        <v>0.14201258392804358</v>
      </c>
      <c r="D16" s="28">
        <f>D15/D8</f>
        <v>0.16884462269316719</v>
      </c>
      <c r="E16" s="28">
        <f>E15/E8</f>
        <v>0.17263275945683801</v>
      </c>
      <c r="F16" s="28">
        <f>F15/F8</f>
        <v>0.17786826561660998</v>
      </c>
      <c r="K16" s="29" t="s">
        <v>431</v>
      </c>
      <c r="S16" s="1"/>
      <c r="T16" s="1"/>
      <c r="U16" s="1"/>
    </row>
    <row r="17" spans="2:21" ht="15" customHeight="1" x14ac:dyDescent="0.2">
      <c r="C17" s="13"/>
      <c r="D17" s="13"/>
      <c r="E17" s="13"/>
      <c r="F17" s="13"/>
      <c r="S17" s="1"/>
      <c r="T17" s="1"/>
      <c r="U17" s="1"/>
    </row>
    <row r="18" spans="2:21" ht="17.25" customHeight="1" x14ac:dyDescent="0.2">
      <c r="B18" s="14" t="s">
        <v>67</v>
      </c>
      <c r="C18" s="15"/>
      <c r="D18" s="15"/>
      <c r="E18" s="15"/>
      <c r="F18" s="15"/>
      <c r="S18" s="1"/>
      <c r="T18" s="1"/>
      <c r="U18" s="1"/>
    </row>
    <row r="19" spans="2:21" ht="15" customHeight="1" x14ac:dyDescent="0.2">
      <c r="B19" s="4" t="s">
        <v>68</v>
      </c>
      <c r="C19" s="16">
        <v>-1600</v>
      </c>
      <c r="D19" s="16">
        <v>-1500</v>
      </c>
      <c r="E19" s="16">
        <v>-1700</v>
      </c>
      <c r="F19" s="16">
        <v>-1500</v>
      </c>
      <c r="H19" s="22">
        <f>((C19-D19)/ABS(D19))</f>
        <v>-6.6666666666666666E-2</v>
      </c>
      <c r="I19" s="22">
        <f>((C19/E19)^(1/2)-1)</f>
        <v>-2.9857499854668124E-2</v>
      </c>
      <c r="K19" s="18" t="s">
        <v>69</v>
      </c>
      <c r="M19" s="19">
        <f>(-C19/C$10)</f>
        <v>2.2495290048646064E-2</v>
      </c>
      <c r="N19" s="19">
        <f t="shared" ref="N19:O19" si="4">(-D19/D$10)</f>
        <v>2.2189677362091154E-2</v>
      </c>
      <c r="O19" s="19">
        <f t="shared" si="4"/>
        <v>2.5740025740025738E-2</v>
      </c>
      <c r="S19" s="1"/>
      <c r="T19" s="1"/>
      <c r="U19" s="1"/>
    </row>
    <row r="20" spans="2:21" ht="15" customHeight="1" x14ac:dyDescent="0.2">
      <c r="B20" s="4" t="s">
        <v>70</v>
      </c>
      <c r="C20" s="16">
        <v>-1559</v>
      </c>
      <c r="D20" s="16">
        <v>-1430</v>
      </c>
      <c r="E20" s="16">
        <v>-1404</v>
      </c>
      <c r="F20" s="16">
        <v>-1364</v>
      </c>
      <c r="H20" s="22">
        <f>((C20-D20)/ABS(D20))</f>
        <v>-9.0209790209790211E-2</v>
      </c>
      <c r="I20" s="22">
        <f>((C20/E20)^(1/2)-1)</f>
        <v>5.3754649052074388E-2</v>
      </c>
      <c r="K20" s="18" t="s">
        <v>71</v>
      </c>
      <c r="M20" s="19">
        <f>-(C20/C$10)</f>
        <v>2.1918848241149508E-2</v>
      </c>
      <c r="N20" s="19">
        <f t="shared" ref="N20:O20" si="5">-(D20/D$10)</f>
        <v>2.1154159085193566E-2</v>
      </c>
      <c r="O20" s="19">
        <f t="shared" si="5"/>
        <v>2.1258233022938906E-2</v>
      </c>
      <c r="S20" s="1"/>
      <c r="T20" s="1"/>
      <c r="U20" s="1"/>
    </row>
    <row r="21" spans="2:21" ht="15" customHeight="1" x14ac:dyDescent="0.2">
      <c r="B21" s="4" t="s">
        <v>72</v>
      </c>
      <c r="C21" s="16">
        <v>326</v>
      </c>
      <c r="D21" s="16">
        <v>535</v>
      </c>
      <c r="E21" s="16">
        <v>-984</v>
      </c>
      <c r="F21" s="16">
        <v>-942</v>
      </c>
      <c r="H21" s="17"/>
      <c r="M21" s="19">
        <f>(C21/C$10)</f>
        <v>4.5834153474116355E-3</v>
      </c>
      <c r="N21" s="19">
        <f t="shared" ref="N21" si="6">(D21/D$10)</f>
        <v>7.9143182591458455E-3</v>
      </c>
      <c r="O21" s="19">
        <f>-(E21/E$10)</f>
        <v>1.489893254599137E-2</v>
      </c>
      <c r="S21" s="1"/>
      <c r="T21" s="1"/>
      <c r="U21" s="1"/>
    </row>
    <row r="22" spans="2:21" ht="15" customHeight="1" x14ac:dyDescent="0.2">
      <c r="B22" s="4" t="s">
        <v>73</v>
      </c>
      <c r="C22" s="21">
        <f>SUM(C19:C21)</f>
        <v>-2833</v>
      </c>
      <c r="D22" s="21">
        <f>SUM(D19:D21)</f>
        <v>-2395</v>
      </c>
      <c r="E22" s="21">
        <f>SUM(E19:E21)</f>
        <v>-4088</v>
      </c>
      <c r="F22" s="21">
        <f>SUM(F19:F21)</f>
        <v>-3806</v>
      </c>
      <c r="H22" s="17"/>
      <c r="M22" s="19">
        <f>-(C22/C$10)</f>
        <v>3.9830722942383941E-2</v>
      </c>
      <c r="N22" s="19">
        <f t="shared" ref="N22:O22" si="7">-(D22/D$10)</f>
        <v>3.542951818813888E-2</v>
      </c>
      <c r="O22" s="19">
        <f t="shared" si="7"/>
        <v>6.1897191308956018E-2</v>
      </c>
      <c r="S22" s="1"/>
      <c r="T22" s="1"/>
      <c r="U22" s="1"/>
    </row>
    <row r="23" spans="2:21" ht="15" customHeight="1" x14ac:dyDescent="0.2">
      <c r="C23" s="13"/>
      <c r="D23" s="13"/>
      <c r="E23" s="13"/>
      <c r="F23" s="13"/>
    </row>
    <row r="24" spans="2:21" ht="15" customHeight="1" x14ac:dyDescent="0.2">
      <c r="B24" s="24" t="s">
        <v>74</v>
      </c>
      <c r="C24" s="25">
        <f>C15+C22</f>
        <v>7256</v>
      </c>
      <c r="D24" s="25">
        <f>D15+D22</f>
        <v>9014</v>
      </c>
      <c r="E24" s="25">
        <f>E15+E22</f>
        <v>7303</v>
      </c>
      <c r="F24" s="25">
        <f>F15+F22</f>
        <v>8119</v>
      </c>
      <c r="H24" s="22">
        <f>((C24-D24)/ABS(D24))</f>
        <v>-0.19502995340581317</v>
      </c>
      <c r="I24" s="22">
        <f>((C24/E24)^(1/2)-1)</f>
        <v>-3.2230497004354097E-3</v>
      </c>
      <c r="K24" s="18" t="s">
        <v>75</v>
      </c>
      <c r="M24" s="19">
        <f>(C24/C$10)</f>
        <v>0.10201614037060991</v>
      </c>
      <c r="N24" s="19">
        <f t="shared" ref="N24:O24" si="8">(D24/D$10)</f>
        <v>0.13334516782792644</v>
      </c>
      <c r="O24" s="19">
        <f t="shared" si="8"/>
        <v>0.11057612234082823</v>
      </c>
    </row>
    <row r="25" spans="2:21" ht="15" customHeight="1" x14ac:dyDescent="0.2">
      <c r="B25" s="27" t="s">
        <v>76</v>
      </c>
      <c r="C25" s="28">
        <f>C24/C10</f>
        <v>0.10201614037060991</v>
      </c>
      <c r="D25" s="28">
        <f>D24/D10</f>
        <v>0.13334516782792644</v>
      </c>
      <c r="E25" s="28">
        <f>E24/E10</f>
        <v>0.11057612234082823</v>
      </c>
      <c r="F25" s="28">
        <f>F24/F10</f>
        <v>0.12098769111554854</v>
      </c>
      <c r="K25" s="18" t="s">
        <v>77</v>
      </c>
    </row>
    <row r="26" spans="2:21" ht="15" customHeight="1" x14ac:dyDescent="0.2">
      <c r="C26" s="13"/>
      <c r="D26" s="13"/>
      <c r="E26" s="13"/>
      <c r="F26" s="13"/>
    </row>
    <row r="27" spans="2:21" ht="17.25" customHeight="1" x14ac:dyDescent="0.2">
      <c r="B27" s="14" t="s">
        <v>78</v>
      </c>
      <c r="C27" s="15"/>
      <c r="D27" s="15"/>
      <c r="E27" s="15"/>
      <c r="F27" s="15"/>
    </row>
    <row r="28" spans="2:21" ht="15" customHeight="1" x14ac:dyDescent="0.2">
      <c r="B28" s="4" t="s">
        <v>79</v>
      </c>
      <c r="C28" s="16">
        <v>-1036</v>
      </c>
      <c r="D28" s="16">
        <v>-916</v>
      </c>
      <c r="E28" s="16">
        <v>-623</v>
      </c>
      <c r="F28" s="16">
        <v>-569</v>
      </c>
      <c r="H28" s="22">
        <f>((C28-D28)/ABS(D28))</f>
        <v>-0.13100436681222707</v>
      </c>
      <c r="I28" s="22">
        <f>((C28/E28)^(1/2)-1)</f>
        <v>0.28954307733964701</v>
      </c>
      <c r="K28" s="29" t="s">
        <v>436</v>
      </c>
      <c r="M28" s="19">
        <f>-(C28/C$10)</f>
        <v>1.4565700306498328E-2</v>
      </c>
      <c r="N28" s="19">
        <f t="shared" ref="N28:O28" si="9">-(D28/D$10)</f>
        <v>1.3550496309116998E-2</v>
      </c>
      <c r="O28" s="19">
        <f t="shared" si="9"/>
        <v>9.4329623741388445E-3</v>
      </c>
    </row>
    <row r="29" spans="2:21" ht="15" customHeight="1" x14ac:dyDescent="0.2">
      <c r="B29" s="4" t="s">
        <v>80</v>
      </c>
      <c r="C29" s="16">
        <v>0</v>
      </c>
      <c r="D29" s="16">
        <v>0</v>
      </c>
      <c r="E29" s="16">
        <v>0</v>
      </c>
      <c r="F29" s="16">
        <v>0</v>
      </c>
    </row>
    <row r="30" spans="2:21" ht="15" customHeight="1" x14ac:dyDescent="0.2">
      <c r="C30" s="13"/>
      <c r="D30" s="13"/>
      <c r="E30" s="13"/>
      <c r="F30" s="13"/>
    </row>
    <row r="31" spans="2:21" ht="15" customHeight="1" x14ac:dyDescent="0.2">
      <c r="B31" s="24" t="s">
        <v>81</v>
      </c>
      <c r="C31" s="25">
        <f>C24+C28+C29</f>
        <v>6220</v>
      </c>
      <c r="D31" s="25">
        <f>D24+D28+D29</f>
        <v>8098</v>
      </c>
      <c r="E31" s="25">
        <f>E24+E28+E29</f>
        <v>6680</v>
      </c>
      <c r="F31" s="25">
        <f>F24+F28+F29</f>
        <v>7550</v>
      </c>
      <c r="H31" s="22">
        <f>((C31-D31)/ABS(D31))</f>
        <v>-0.23190911336132378</v>
      </c>
      <c r="I31" s="22">
        <f>((C31/E31)^(1/2)-1)</f>
        <v>-3.504522149952638E-2</v>
      </c>
      <c r="K31" s="107"/>
      <c r="M31" s="19">
        <f>(C31/C$10)</f>
        <v>8.7450440064111581E-2</v>
      </c>
      <c r="N31" s="19">
        <f t="shared" ref="N31:O31" si="10">(D31/D$10)</f>
        <v>0.11979467151880945</v>
      </c>
      <c r="O31" s="19">
        <f t="shared" si="10"/>
        <v>0.10114315996668938</v>
      </c>
    </row>
    <row r="32" spans="2:21" ht="15" customHeight="1" x14ac:dyDescent="0.2">
      <c r="B32" s="4" t="s">
        <v>82</v>
      </c>
      <c r="C32" s="16">
        <v>-884</v>
      </c>
      <c r="D32" s="16">
        <v>-1178</v>
      </c>
      <c r="E32" s="16">
        <v>-948</v>
      </c>
      <c r="F32" s="16">
        <v>-1235</v>
      </c>
      <c r="H32" s="22">
        <f>((C32-D32)/ABS(D32))</f>
        <v>0.24957555178268251</v>
      </c>
      <c r="I32" s="22">
        <f>((C32/E32)^(1/2)-1)</f>
        <v>-3.4345066042329342E-2</v>
      </c>
      <c r="M32" s="19">
        <f>-(C32/C$10)</f>
        <v>1.2428647751876951E-2</v>
      </c>
      <c r="N32" s="19">
        <f t="shared" ref="N32:O32" si="11">-(D32/D$10)</f>
        <v>1.7426293288362253E-2</v>
      </c>
      <c r="O32" s="19">
        <f t="shared" si="11"/>
        <v>1.4353849647967295E-2</v>
      </c>
    </row>
    <row r="33" spans="2:15" ht="15" customHeight="1" x14ac:dyDescent="0.2">
      <c r="B33" s="27" t="s">
        <v>83</v>
      </c>
      <c r="C33" s="28">
        <f>-C32/C31</f>
        <v>0.14212218649517686</v>
      </c>
      <c r="D33" s="28">
        <f>-D32/D31</f>
        <v>0.14546801679427018</v>
      </c>
      <c r="E33" s="28">
        <f>-E32/E31</f>
        <v>0.14191616766467066</v>
      </c>
      <c r="F33" s="28">
        <f>-F32/F31</f>
        <v>0.16357615894039734</v>
      </c>
    </row>
    <row r="34" spans="2:15" ht="15" customHeight="1" x14ac:dyDescent="0.2">
      <c r="C34" s="13"/>
      <c r="D34" s="13"/>
      <c r="E34" s="13"/>
      <c r="F34" s="13"/>
    </row>
    <row r="35" spans="2:15" ht="15" customHeight="1" x14ac:dyDescent="0.2">
      <c r="B35" s="24" t="s">
        <v>65</v>
      </c>
      <c r="C35" s="31">
        <f>C31+C32</f>
        <v>5336</v>
      </c>
      <c r="D35" s="31">
        <f>D31+D32</f>
        <v>6920</v>
      </c>
      <c r="E35" s="31">
        <f>E31+E32</f>
        <v>5732</v>
      </c>
      <c r="F35" s="31">
        <f>F31+F32</f>
        <v>6315</v>
      </c>
      <c r="H35" s="22">
        <f>((C35-D35)/ABS(D35))</f>
        <v>-0.22890173410404624</v>
      </c>
      <c r="I35" s="22">
        <f>((C35/E35)^(1/2)-1)</f>
        <v>-3.5161067283696279E-2</v>
      </c>
      <c r="M35" s="19">
        <f>(C35/C$10)</f>
        <v>7.5021792312234631E-2</v>
      </c>
      <c r="N35" s="19">
        <f t="shared" ref="N35:O35" si="12">(D35/D$10)</f>
        <v>0.1023683782304472</v>
      </c>
      <c r="O35" s="19">
        <f t="shared" si="12"/>
        <v>8.6789310318722085E-2</v>
      </c>
    </row>
    <row r="36" spans="2:15" ht="15" customHeight="1" x14ac:dyDescent="0.2">
      <c r="B36" s="27" t="s">
        <v>84</v>
      </c>
      <c r="C36" s="28">
        <f>C35/C10</f>
        <v>7.5021792312234631E-2</v>
      </c>
      <c r="D36" s="28">
        <f>D35/D10</f>
        <v>0.1023683782304472</v>
      </c>
      <c r="E36" s="28">
        <f>E35/E10</f>
        <v>8.6789310318722085E-2</v>
      </c>
      <c r="F36" s="28">
        <f>F35/F10</f>
        <v>9.4104849044794797E-2</v>
      </c>
    </row>
    <row r="37" spans="2:15" ht="15" customHeight="1" x14ac:dyDescent="0.2">
      <c r="B37" s="27"/>
      <c r="C37" s="106"/>
      <c r="D37" s="106"/>
      <c r="E37" s="106"/>
      <c r="F37" s="106"/>
    </row>
    <row r="38" spans="2:15" ht="15" customHeight="1" x14ac:dyDescent="0.2">
      <c r="B38" s="27"/>
      <c r="C38" s="106"/>
      <c r="D38" s="106"/>
      <c r="E38" s="106"/>
      <c r="F38" s="106"/>
    </row>
    <row r="40" spans="2:15" x14ac:dyDescent="0.2">
      <c r="B40" s="32" t="s">
        <v>85</v>
      </c>
    </row>
    <row r="41" spans="2:15" x14ac:dyDescent="0.2">
      <c r="B41" s="12" t="s">
        <v>50</v>
      </c>
      <c r="C41" s="12" t="s">
        <v>64</v>
      </c>
      <c r="D41" s="12" t="s">
        <v>63</v>
      </c>
      <c r="E41" s="12" t="s">
        <v>86</v>
      </c>
      <c r="F41" s="12" t="s">
        <v>65</v>
      </c>
    </row>
    <row r="42" spans="2:15" x14ac:dyDescent="0.2">
      <c r="B42" s="33">
        <v>2022</v>
      </c>
      <c r="C42" s="34">
        <f>E10</f>
        <v>66045</v>
      </c>
      <c r="D42" s="34">
        <f>E15</f>
        <v>11391</v>
      </c>
      <c r="E42" s="34">
        <f>E24</f>
        <v>7303</v>
      </c>
      <c r="F42" s="34">
        <f>E35</f>
        <v>5732</v>
      </c>
    </row>
    <row r="43" spans="2:15" x14ac:dyDescent="0.2">
      <c r="B43" s="33">
        <v>2023</v>
      </c>
      <c r="C43" s="34">
        <f>D10</f>
        <v>67599</v>
      </c>
      <c r="D43" s="34">
        <f>D15</f>
        <v>11409</v>
      </c>
      <c r="E43" s="34">
        <f>D24</f>
        <v>9014</v>
      </c>
      <c r="F43" s="34">
        <f>D35</f>
        <v>6920</v>
      </c>
    </row>
    <row r="44" spans="2:15" x14ac:dyDescent="0.2">
      <c r="B44" s="33">
        <v>2024</v>
      </c>
      <c r="C44" s="34">
        <f>C10</f>
        <v>71126</v>
      </c>
      <c r="D44" s="34">
        <f>C15</f>
        <v>10089</v>
      </c>
      <c r="E44" s="34">
        <f>C24</f>
        <v>7256</v>
      </c>
      <c r="F44" s="34">
        <f>C35</f>
        <v>5336</v>
      </c>
    </row>
    <row r="46" spans="2:15" x14ac:dyDescent="0.2">
      <c r="B46" s="32" t="s">
        <v>87</v>
      </c>
    </row>
    <row r="47" spans="2:15" x14ac:dyDescent="0.2">
      <c r="B47" s="12" t="s">
        <v>50</v>
      </c>
      <c r="C47" s="12" t="s">
        <v>51</v>
      </c>
      <c r="D47" s="12" t="s">
        <v>52</v>
      </c>
      <c r="E47" s="12" t="s">
        <v>53</v>
      </c>
    </row>
    <row r="48" spans="2:15" x14ac:dyDescent="0.2">
      <c r="B48" s="33">
        <v>2022</v>
      </c>
      <c r="C48" s="19">
        <f>E16</f>
        <v>0.17263275945683801</v>
      </c>
      <c r="D48" s="19">
        <f>E25</f>
        <v>0.11057612234082823</v>
      </c>
      <c r="E48" s="19">
        <f>E36</f>
        <v>8.6789310318722085E-2</v>
      </c>
    </row>
    <row r="49" spans="2:5" x14ac:dyDescent="0.2">
      <c r="B49" s="33">
        <v>2023</v>
      </c>
      <c r="C49" s="19">
        <f>D16</f>
        <v>0.16884462269316719</v>
      </c>
      <c r="D49" s="19">
        <f>D25</f>
        <v>0.13334516782792644</v>
      </c>
      <c r="E49" s="19">
        <f>D36</f>
        <v>0.1023683782304472</v>
      </c>
    </row>
    <row r="50" spans="2:5" x14ac:dyDescent="0.2">
      <c r="B50" s="33">
        <v>2024</v>
      </c>
      <c r="C50" s="19">
        <f>C16</f>
        <v>0.14201258392804358</v>
      </c>
      <c r="D50" s="19">
        <f>C25</f>
        <v>0.10201614037060991</v>
      </c>
      <c r="E50" s="19">
        <f>C36</f>
        <v>7.5021792312234631E-2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61"/>
  <sheetViews>
    <sheetView showGridLines="0" topLeftCell="A44" zoomScale="75" zoomScaleNormal="83" workbookViewId="0">
      <selection activeCell="H30" sqref="H30"/>
    </sheetView>
  </sheetViews>
  <sheetFormatPr baseColWidth="10" defaultColWidth="8.6640625" defaultRowHeight="15" x14ac:dyDescent="0.2"/>
  <cols>
    <col min="1" max="1" width="3" style="1" customWidth="1"/>
    <col min="2" max="2" width="42" style="1" customWidth="1"/>
    <col min="3" max="6" width="14" style="1" customWidth="1"/>
    <col min="7" max="7" width="3" style="1" customWidth="1"/>
    <col min="8" max="8" width="10" style="1" customWidth="1"/>
    <col min="9" max="11" width="10" customWidth="1"/>
  </cols>
  <sheetData>
    <row r="2" spans="2:27" ht="21.75" customHeight="1" x14ac:dyDescent="0.25">
      <c r="B2" s="127" t="s">
        <v>88</v>
      </c>
      <c r="C2" s="127"/>
      <c r="D2" s="127"/>
      <c r="E2" s="127"/>
      <c r="F2" s="127"/>
    </row>
    <row r="3" spans="2:27" ht="15" customHeight="1" x14ac:dyDescent="0.2">
      <c r="B3" s="125" t="s">
        <v>89</v>
      </c>
      <c r="C3" s="125"/>
      <c r="D3" s="125"/>
      <c r="E3" s="125"/>
      <c r="F3" s="125"/>
    </row>
    <row r="4" spans="2:27" x14ac:dyDescent="0.2">
      <c r="I4" s="9" t="s">
        <v>90</v>
      </c>
    </row>
    <row r="5" spans="2:27" ht="15" customHeight="1" x14ac:dyDescent="0.2">
      <c r="B5" s="10" t="s">
        <v>42</v>
      </c>
      <c r="C5" s="10" t="s">
        <v>43</v>
      </c>
      <c r="D5" s="10" t="s">
        <v>44</v>
      </c>
      <c r="E5" s="10" t="s">
        <v>45</v>
      </c>
      <c r="F5" s="10" t="s">
        <v>46</v>
      </c>
      <c r="H5" s="12" t="s">
        <v>43</v>
      </c>
      <c r="I5" s="12" t="s">
        <v>44</v>
      </c>
      <c r="J5" s="12" t="s">
        <v>45</v>
      </c>
    </row>
    <row r="6" spans="2:27" ht="17.25" customHeight="1" x14ac:dyDescent="0.2">
      <c r="B6" s="14" t="s">
        <v>91</v>
      </c>
      <c r="C6" s="15"/>
      <c r="D6" s="15"/>
      <c r="E6" s="15"/>
      <c r="F6" s="15"/>
    </row>
    <row r="7" spans="2:27" ht="15" customHeight="1" x14ac:dyDescent="0.2">
      <c r="C7" s="13"/>
      <c r="D7" s="13"/>
      <c r="E7" s="13"/>
      <c r="F7" s="13"/>
    </row>
    <row r="8" spans="2:27" ht="15" customHeight="1" x14ac:dyDescent="0.2">
      <c r="B8" s="35" t="s">
        <v>92</v>
      </c>
      <c r="C8" s="13"/>
      <c r="D8" s="13"/>
      <c r="E8" s="13"/>
      <c r="F8" s="13"/>
    </row>
    <row r="9" spans="2:27" ht="15" customHeight="1" x14ac:dyDescent="0.2">
      <c r="B9" s="4" t="s">
        <v>93</v>
      </c>
      <c r="C9" s="16">
        <v>8726</v>
      </c>
      <c r="D9" s="16">
        <v>8370</v>
      </c>
      <c r="E9" s="16">
        <v>7975</v>
      </c>
      <c r="F9" s="16">
        <v>7597</v>
      </c>
      <c r="H9" s="19">
        <f>(C9/C$22)</f>
        <v>0.15689447471096968</v>
      </c>
      <c r="I9" s="19">
        <f t="shared" ref="I9:J13" si="0">(D9/D$22)</f>
        <v>0.15956229983224035</v>
      </c>
      <c r="J9" s="19">
        <f t="shared" si="0"/>
        <v>0.15081316187594554</v>
      </c>
    </row>
    <row r="10" spans="2:27" ht="15" customHeight="1" x14ac:dyDescent="0.2">
      <c r="B10" s="4" t="s">
        <v>94</v>
      </c>
      <c r="C10" s="16">
        <v>14982</v>
      </c>
      <c r="D10" s="16">
        <v>14411</v>
      </c>
      <c r="E10" s="16">
        <v>14158</v>
      </c>
      <c r="F10" s="16">
        <v>14296</v>
      </c>
      <c r="H10" s="19">
        <f>(C10/C$22)</f>
        <v>0.26937806785695023</v>
      </c>
      <c r="I10" s="19">
        <f t="shared" si="0"/>
        <v>0.27472548421534237</v>
      </c>
      <c r="J10" s="19">
        <f t="shared" si="0"/>
        <v>0.26773827534039335</v>
      </c>
    </row>
    <row r="11" spans="2:27" ht="15" customHeight="1" x14ac:dyDescent="0.2">
      <c r="B11" s="4" t="s">
        <v>95</v>
      </c>
      <c r="C11" s="16">
        <v>3454</v>
      </c>
      <c r="D11" s="16">
        <v>2501</v>
      </c>
      <c r="E11" s="16">
        <v>2285</v>
      </c>
      <c r="F11" s="16">
        <v>2789</v>
      </c>
      <c r="H11" s="19">
        <f t="shared" ref="H11:H13" si="1">(C11/C$22)</f>
        <v>6.2103313735009082E-2</v>
      </c>
      <c r="I11" s="19">
        <f t="shared" si="0"/>
        <v>4.7678053988104319E-2</v>
      </c>
      <c r="J11" s="19">
        <f t="shared" si="0"/>
        <v>4.3211043872919817E-2</v>
      </c>
    </row>
    <row r="12" spans="2:27" ht="15" customHeight="1" x14ac:dyDescent="0.2">
      <c r="B12" s="4" t="s">
        <v>96</v>
      </c>
      <c r="C12" s="16">
        <v>6606</v>
      </c>
      <c r="D12" s="16">
        <v>6653</v>
      </c>
      <c r="E12" s="16">
        <v>7471</v>
      </c>
      <c r="F12" s="16">
        <v>6376</v>
      </c>
      <c r="H12" s="19">
        <f t="shared" si="1"/>
        <v>0.1187766330438535</v>
      </c>
      <c r="I12" s="19">
        <f t="shared" si="0"/>
        <v>0.12683010523105079</v>
      </c>
      <c r="J12" s="19">
        <f t="shared" si="0"/>
        <v>0.14128214826021179</v>
      </c>
    </row>
    <row r="13" spans="2:27" ht="15" customHeight="1" x14ac:dyDescent="0.2">
      <c r="B13" s="24" t="s">
        <v>97</v>
      </c>
      <c r="C13" s="25">
        <f>SUM(C9:C12)</f>
        <v>33768</v>
      </c>
      <c r="D13" s="25">
        <f>SUM(D9:D12)</f>
        <v>31935</v>
      </c>
      <c r="E13" s="25">
        <f>SUM(E9:E12)</f>
        <v>31889</v>
      </c>
      <c r="F13" s="25">
        <f>SUM(F9:F12)</f>
        <v>31058</v>
      </c>
      <c r="H13" s="19">
        <f t="shared" si="1"/>
        <v>0.60715248934678245</v>
      </c>
      <c r="I13" s="19">
        <f t="shared" si="0"/>
        <v>0.6087959432667378</v>
      </c>
      <c r="J13" s="19">
        <f t="shared" si="0"/>
        <v>0.60304462934947045</v>
      </c>
      <c r="P13" s="32" t="s">
        <v>125</v>
      </c>
      <c r="Q13" s="1"/>
      <c r="R13" s="1"/>
      <c r="S13" s="1"/>
      <c r="T13" s="1"/>
      <c r="U13" s="1"/>
      <c r="W13" s="32" t="s">
        <v>129</v>
      </c>
      <c r="X13" s="1"/>
      <c r="Y13" s="1"/>
      <c r="Z13" s="1"/>
      <c r="AA13" s="1"/>
    </row>
    <row r="14" spans="2:27" ht="15" customHeight="1" x14ac:dyDescent="0.2">
      <c r="C14" s="13"/>
      <c r="D14" s="13"/>
      <c r="E14" s="13"/>
      <c r="F14" s="13"/>
      <c r="P14" s="12" t="s">
        <v>50</v>
      </c>
      <c r="Q14" s="12" t="s">
        <v>117</v>
      </c>
      <c r="R14" s="12" t="s">
        <v>126</v>
      </c>
      <c r="S14" s="12" t="s">
        <v>127</v>
      </c>
      <c r="T14" s="12" t="s">
        <v>128</v>
      </c>
      <c r="U14" s="1"/>
      <c r="W14" s="12" t="s">
        <v>50</v>
      </c>
      <c r="X14" s="12" t="s">
        <v>130</v>
      </c>
      <c r="Y14" s="12" t="s">
        <v>131</v>
      </c>
      <c r="Z14" s="12" t="s">
        <v>132</v>
      </c>
      <c r="AA14" s="12" t="s">
        <v>98</v>
      </c>
    </row>
    <row r="15" spans="2:27" ht="15" customHeight="1" x14ac:dyDescent="0.2">
      <c r="B15" s="35" t="s">
        <v>98</v>
      </c>
      <c r="C15" s="13"/>
      <c r="D15" s="13"/>
      <c r="E15" s="13"/>
      <c r="F15" s="13"/>
      <c r="P15" s="33">
        <v>2022</v>
      </c>
      <c r="Q15" s="34">
        <f>E46</f>
        <v>9266</v>
      </c>
      <c r="R15" s="34">
        <f>E27</f>
        <v>15429</v>
      </c>
      <c r="S15" s="34">
        <f>E34</f>
        <v>0</v>
      </c>
      <c r="T15" s="34">
        <f>E38-E27-E34</f>
        <v>28185</v>
      </c>
      <c r="U15" s="1"/>
      <c r="W15" s="33">
        <v>2022</v>
      </c>
      <c r="X15" s="34">
        <f>E9</f>
        <v>7975</v>
      </c>
      <c r="Y15" s="34">
        <f>E10</f>
        <v>14158</v>
      </c>
      <c r="Z15" s="34">
        <f>E11+E12</f>
        <v>9756</v>
      </c>
      <c r="AA15" s="34">
        <f>E20</f>
        <v>20991</v>
      </c>
    </row>
    <row r="16" spans="2:27" ht="15" customHeight="1" x14ac:dyDescent="0.2">
      <c r="B16" s="4" t="s">
        <v>99</v>
      </c>
      <c r="C16" s="16">
        <v>3474</v>
      </c>
      <c r="D16" s="16">
        <v>3132</v>
      </c>
      <c r="E16" s="16">
        <v>3088</v>
      </c>
      <c r="F16" s="16">
        <v>2981</v>
      </c>
      <c r="H16" s="19">
        <f>(C16/C$22)</f>
        <v>6.2462916014887536E-2</v>
      </c>
      <c r="I16" s="19">
        <f t="shared" ref="I16:J20" si="2">(D16/D$22)</f>
        <v>5.9707183163031877E-2</v>
      </c>
      <c r="J16" s="19">
        <f t="shared" si="2"/>
        <v>5.8396369137670198E-2</v>
      </c>
      <c r="P16" s="33">
        <v>2023</v>
      </c>
      <c r="Q16" s="34">
        <f>D46</f>
        <v>6835</v>
      </c>
      <c r="R16" s="34">
        <f>D27</f>
        <v>17291</v>
      </c>
      <c r="S16" s="34">
        <f>D34</f>
        <v>168</v>
      </c>
      <c r="T16" s="34">
        <f>D38-D27-D34</f>
        <v>28162</v>
      </c>
      <c r="U16" s="1"/>
      <c r="W16" s="33">
        <v>2023</v>
      </c>
      <c r="X16" s="34">
        <f>D9</f>
        <v>8370</v>
      </c>
      <c r="Y16" s="34">
        <f>D10</f>
        <v>14411</v>
      </c>
      <c r="Z16" s="34">
        <f>D11+D12</f>
        <v>9154</v>
      </c>
      <c r="AA16" s="34">
        <f>D20</f>
        <v>20521</v>
      </c>
    </row>
    <row r="17" spans="2:27" ht="15" customHeight="1" x14ac:dyDescent="0.2">
      <c r="B17" s="4" t="s">
        <v>100</v>
      </c>
      <c r="C17" s="16">
        <v>2351</v>
      </c>
      <c r="D17" s="16">
        <v>2132</v>
      </c>
      <c r="E17" s="16">
        <v>2505</v>
      </c>
      <c r="F17" s="16">
        <v>1963</v>
      </c>
      <c r="H17" s="19">
        <f t="shared" ref="H17:H20" si="3">(C17/C$22)</f>
        <v>4.2271247999712318E-2</v>
      </c>
      <c r="I17" s="19">
        <f t="shared" si="2"/>
        <v>4.0643587006252861E-2</v>
      </c>
      <c r="J17" s="19">
        <f t="shared" si="2"/>
        <v>4.7371406959152797E-2</v>
      </c>
      <c r="P17" s="33">
        <v>2024</v>
      </c>
      <c r="Q17" s="34">
        <f>C46</f>
        <v>6333</v>
      </c>
      <c r="R17" s="34">
        <f>C27</f>
        <v>19627</v>
      </c>
      <c r="S17" s="34">
        <f>C34</f>
        <v>643</v>
      </c>
      <c r="T17" s="34">
        <f>C38-C27-C34</f>
        <v>29014</v>
      </c>
      <c r="U17" s="1"/>
      <c r="W17" s="33">
        <v>2024</v>
      </c>
      <c r="X17" s="34">
        <f>C9</f>
        <v>8726</v>
      </c>
      <c r="Y17" s="34">
        <f>C10</f>
        <v>14982</v>
      </c>
      <c r="Z17" s="34">
        <f>C11+C12</f>
        <v>10060</v>
      </c>
      <c r="AA17" s="34">
        <f>C20</f>
        <v>21849</v>
      </c>
    </row>
    <row r="18" spans="2:27" ht="15" customHeight="1" x14ac:dyDescent="0.2">
      <c r="B18" s="4" t="s">
        <v>101</v>
      </c>
      <c r="C18" s="16">
        <v>2483</v>
      </c>
      <c r="D18" s="16">
        <v>1442</v>
      </c>
      <c r="E18" s="16">
        <v>2547</v>
      </c>
      <c r="F18" s="16">
        <v>3604</v>
      </c>
      <c r="H18" s="19">
        <f t="shared" si="3"/>
        <v>4.4644623046910116E-2</v>
      </c>
      <c r="I18" s="19">
        <f t="shared" si="2"/>
        <v>2.748970565807534E-2</v>
      </c>
      <c r="J18" s="19">
        <f t="shared" si="2"/>
        <v>4.8165658093797276E-2</v>
      </c>
      <c r="P18" s="1"/>
      <c r="Q18" s="1"/>
      <c r="R18" s="1"/>
      <c r="S18" s="1"/>
      <c r="T18" s="1"/>
      <c r="U18" s="1"/>
    </row>
    <row r="19" spans="2:27" ht="15" customHeight="1" x14ac:dyDescent="0.2">
      <c r="B19" s="4" t="s">
        <v>102</v>
      </c>
      <c r="C19" s="16">
        <v>13541</v>
      </c>
      <c r="D19" s="16">
        <v>13815</v>
      </c>
      <c r="E19" s="16">
        <v>12851</v>
      </c>
      <c r="F19" s="16">
        <v>11267</v>
      </c>
      <c r="H19" s="19">
        <f t="shared" si="3"/>
        <v>0.24346872359170757</v>
      </c>
      <c r="I19" s="19">
        <f t="shared" si="2"/>
        <v>0.26336358090590206</v>
      </c>
      <c r="J19" s="19">
        <f t="shared" si="2"/>
        <v>0.24302193645990922</v>
      </c>
      <c r="U19" s="1"/>
    </row>
    <row r="20" spans="2:27" ht="15" customHeight="1" x14ac:dyDescent="0.2">
      <c r="B20" s="24" t="s">
        <v>103</v>
      </c>
      <c r="C20" s="25">
        <f>SUM(C16:C19)</f>
        <v>21849</v>
      </c>
      <c r="D20" s="25">
        <f>SUM(D16:D19)</f>
        <v>20521</v>
      </c>
      <c r="E20" s="25">
        <f>SUM(E16:E19)</f>
        <v>20991</v>
      </c>
      <c r="F20" s="25">
        <f>SUM(F16:F19)</f>
        <v>19815</v>
      </c>
      <c r="H20" s="19">
        <f t="shared" si="3"/>
        <v>0.39284751065321755</v>
      </c>
      <c r="I20" s="19">
        <f t="shared" si="2"/>
        <v>0.39120405673326214</v>
      </c>
      <c r="J20" s="19">
        <f t="shared" si="2"/>
        <v>0.39695537065052949</v>
      </c>
      <c r="U20" s="1"/>
    </row>
    <row r="21" spans="2:27" ht="15" customHeight="1" x14ac:dyDescent="0.2">
      <c r="C21" s="13"/>
      <c r="D21" s="13"/>
      <c r="E21" s="13"/>
      <c r="F21" s="13"/>
      <c r="U21" s="1"/>
    </row>
    <row r="22" spans="2:27" ht="15" customHeight="1" x14ac:dyDescent="0.2">
      <c r="B22" s="36" t="s">
        <v>104</v>
      </c>
      <c r="C22" s="37">
        <f>C13+C20</f>
        <v>55617</v>
      </c>
      <c r="D22" s="37">
        <f>D13+D20</f>
        <v>52456</v>
      </c>
      <c r="E22" s="37">
        <f>E13+E20</f>
        <v>52880</v>
      </c>
      <c r="F22" s="37">
        <f>F13+F20</f>
        <v>50873</v>
      </c>
      <c r="H22" s="19">
        <v>1</v>
      </c>
      <c r="I22" s="19">
        <v>1</v>
      </c>
      <c r="J22" s="19">
        <v>1</v>
      </c>
      <c r="U22" s="1"/>
    </row>
    <row r="23" spans="2:27" ht="15" customHeight="1" x14ac:dyDescent="0.2">
      <c r="C23" s="13"/>
      <c r="D23" s="13"/>
      <c r="E23" s="13"/>
      <c r="F23" s="13"/>
      <c r="U23" s="1"/>
    </row>
    <row r="24" spans="2:27" ht="17.25" customHeight="1" x14ac:dyDescent="0.2">
      <c r="B24" s="14" t="s">
        <v>105</v>
      </c>
      <c r="C24" s="15"/>
      <c r="D24" s="15"/>
      <c r="E24" s="15"/>
      <c r="F24" s="15"/>
      <c r="P24" s="1"/>
      <c r="Q24" s="1"/>
      <c r="R24" s="1"/>
      <c r="S24" s="1"/>
      <c r="T24" s="1"/>
      <c r="U24" s="1"/>
    </row>
    <row r="25" spans="2:27" ht="15" customHeight="1" x14ac:dyDescent="0.2">
      <c r="C25" s="13"/>
      <c r="D25" s="13"/>
      <c r="E25" s="13"/>
      <c r="F25" s="13"/>
    </row>
    <row r="26" spans="2:27" ht="15" customHeight="1" x14ac:dyDescent="0.2">
      <c r="B26" s="35" t="s">
        <v>106</v>
      </c>
      <c r="C26" s="13"/>
      <c r="D26" s="13"/>
      <c r="E26" s="13"/>
      <c r="F26" s="13"/>
    </row>
    <row r="27" spans="2:27" ht="15" customHeight="1" x14ac:dyDescent="0.2">
      <c r="B27" s="4" t="s">
        <v>107</v>
      </c>
      <c r="C27" s="16">
        <v>19627</v>
      </c>
      <c r="D27" s="16">
        <v>17291</v>
      </c>
      <c r="E27" s="16">
        <v>15429</v>
      </c>
      <c r="F27" s="16">
        <v>11670</v>
      </c>
      <c r="H27" s="19">
        <f>(C27/C$22)</f>
        <v>0.35289569735872123</v>
      </c>
      <c r="I27" s="19">
        <f t="shared" ref="I27:J27" si="4">(D27/D$22)</f>
        <v>0.32962864114686596</v>
      </c>
      <c r="J27" s="19">
        <f t="shared" si="4"/>
        <v>0.29177382753403935</v>
      </c>
    </row>
    <row r="28" spans="2:27" ht="15" customHeight="1" x14ac:dyDescent="0.2">
      <c r="B28" s="4" t="s">
        <v>108</v>
      </c>
      <c r="C28" s="16">
        <v>5468</v>
      </c>
      <c r="D28" s="16">
        <v>6842</v>
      </c>
      <c r="E28" s="16">
        <v>6168</v>
      </c>
      <c r="F28" s="16">
        <v>9061</v>
      </c>
      <c r="H28" s="19">
        <f t="shared" ref="H28:H30" si="5">(C28/C$22)</f>
        <v>9.8315263318769441E-2</v>
      </c>
      <c r="I28" s="19">
        <f t="shared" ref="I28:I30" si="6">(D28/D$22)</f>
        <v>0.13043312490468201</v>
      </c>
      <c r="J28" s="19">
        <f t="shared" ref="J28:J30" si="7">(E28/E$22)</f>
        <v>0.11664145234493192</v>
      </c>
    </row>
    <row r="29" spans="2:27" ht="15" customHeight="1" x14ac:dyDescent="0.2">
      <c r="B29" s="4" t="s">
        <v>109</v>
      </c>
      <c r="C29" s="16">
        <v>4769</v>
      </c>
      <c r="D29" s="16">
        <v>4551</v>
      </c>
      <c r="E29" s="16">
        <v>6130</v>
      </c>
      <c r="F29" s="16">
        <v>5186</v>
      </c>
      <c r="H29" s="19">
        <f t="shared" si="5"/>
        <v>8.5747163637017454E-2</v>
      </c>
      <c r="I29" s="19">
        <f t="shared" si="6"/>
        <v>8.6758426109501297E-2</v>
      </c>
      <c r="J29" s="19">
        <f t="shared" si="7"/>
        <v>0.11592284417549167</v>
      </c>
    </row>
    <row r="30" spans="2:27" ht="15" customHeight="1" x14ac:dyDescent="0.2">
      <c r="B30" s="24" t="s">
        <v>110</v>
      </c>
      <c r="C30" s="25">
        <f>SUM(C27:C29)</f>
        <v>29864</v>
      </c>
      <c r="D30" s="25">
        <f>SUM(D27:D29)</f>
        <v>28684</v>
      </c>
      <c r="E30" s="25">
        <f>SUM(E27:E29)</f>
        <v>27727</v>
      </c>
      <c r="F30" s="25">
        <f>SUM(F27:F29)</f>
        <v>25917</v>
      </c>
      <c r="H30" s="19">
        <f t="shared" si="5"/>
        <v>0.53695812431450818</v>
      </c>
      <c r="I30" s="19">
        <f t="shared" si="6"/>
        <v>0.54682019216104927</v>
      </c>
      <c r="J30" s="19">
        <f t="shared" si="7"/>
        <v>0.5243381240544629</v>
      </c>
    </row>
    <row r="31" spans="2:27" ht="15" customHeight="1" x14ac:dyDescent="0.2">
      <c r="C31" s="13"/>
      <c r="D31" s="13"/>
      <c r="E31" s="13"/>
      <c r="F31" s="13"/>
    </row>
    <row r="32" spans="2:27" ht="15" customHeight="1" x14ac:dyDescent="0.2">
      <c r="B32" s="35" t="s">
        <v>111</v>
      </c>
      <c r="C32" s="13"/>
      <c r="D32" s="13"/>
      <c r="E32" s="13"/>
      <c r="F32" s="13"/>
    </row>
    <row r="33" spans="1:10" ht="15" customHeight="1" x14ac:dyDescent="0.2">
      <c r="B33" s="4" t="s">
        <v>112</v>
      </c>
      <c r="C33" s="16">
        <v>2222</v>
      </c>
      <c r="D33" s="16">
        <v>2312</v>
      </c>
      <c r="E33" s="16">
        <v>2117</v>
      </c>
      <c r="F33" s="16">
        <v>780</v>
      </c>
      <c r="H33" s="19">
        <f>(C33/C$22)</f>
        <v>3.9951813294496284E-2</v>
      </c>
      <c r="I33" s="19">
        <f t="shared" ref="I33:J33" si="8">(D33/D$22)</f>
        <v>4.4075034314473086E-2</v>
      </c>
      <c r="J33" s="19">
        <f t="shared" si="8"/>
        <v>4.0034039334341909E-2</v>
      </c>
    </row>
    <row r="34" spans="1:10" ht="15" customHeight="1" x14ac:dyDescent="0.2">
      <c r="B34" s="4" t="s">
        <v>113</v>
      </c>
      <c r="C34" s="16">
        <v>643</v>
      </c>
      <c r="D34" s="16">
        <v>168</v>
      </c>
      <c r="E34" s="16">
        <v>0</v>
      </c>
      <c r="F34" s="16">
        <v>6</v>
      </c>
      <c r="H34" s="19">
        <f t="shared" ref="H34:H36" si="9">(C34/C$22)</f>
        <v>1.156121329809231E-2</v>
      </c>
      <c r="I34" s="19">
        <f t="shared" ref="I34:I36" si="10">(D34/D$22)</f>
        <v>3.2026841543388745E-3</v>
      </c>
      <c r="J34" s="19">
        <f t="shared" ref="J34:J36" si="11">(E34/E$22)</f>
        <v>0</v>
      </c>
    </row>
    <row r="35" spans="1:10" ht="15" customHeight="1" x14ac:dyDescent="0.2">
      <c r="B35" s="4" t="s">
        <v>114</v>
      </c>
      <c r="C35" s="16">
        <v>16555</v>
      </c>
      <c r="D35" s="16">
        <v>14457</v>
      </c>
      <c r="E35" s="16">
        <v>13770</v>
      </c>
      <c r="F35" s="16">
        <v>13211</v>
      </c>
      <c r="H35" s="19">
        <f t="shared" si="9"/>
        <v>0.29766078716939065</v>
      </c>
      <c r="I35" s="19">
        <f t="shared" si="10"/>
        <v>0.2756024096385542</v>
      </c>
      <c r="J35" s="19">
        <f t="shared" si="11"/>
        <v>0.26040090771558244</v>
      </c>
    </row>
    <row r="36" spans="1:10" ht="15" customHeight="1" x14ac:dyDescent="0.2">
      <c r="B36" s="24" t="s">
        <v>115</v>
      </c>
      <c r="C36" s="25">
        <f>SUM(C33:C35)</f>
        <v>19420</v>
      </c>
      <c r="D36" s="25">
        <f>SUM(D33:D35)</f>
        <v>16937</v>
      </c>
      <c r="E36" s="25">
        <f>SUM(E33:E35)</f>
        <v>15887</v>
      </c>
      <c r="F36" s="25">
        <f>SUM(F33:F35)</f>
        <v>13997</v>
      </c>
      <c r="H36" s="19">
        <f t="shared" si="9"/>
        <v>0.34917381376197926</v>
      </c>
      <c r="I36" s="19">
        <f t="shared" si="10"/>
        <v>0.32288012810736616</v>
      </c>
      <c r="J36" s="19">
        <f t="shared" si="11"/>
        <v>0.30043494704992435</v>
      </c>
    </row>
    <row r="37" spans="1:10" ht="15" customHeight="1" x14ac:dyDescent="0.2">
      <c r="C37" s="13"/>
      <c r="D37" s="13"/>
      <c r="E37" s="13"/>
      <c r="F37" s="13"/>
    </row>
    <row r="38" spans="1:10" ht="15" customHeight="1" x14ac:dyDescent="0.2">
      <c r="B38" s="36" t="s">
        <v>116</v>
      </c>
      <c r="C38" s="37">
        <f>C30+C36</f>
        <v>49284</v>
      </c>
      <c r="D38" s="37">
        <f>D30+D36</f>
        <v>45621</v>
      </c>
      <c r="E38" s="37">
        <f>E30+E36</f>
        <v>43614</v>
      </c>
      <c r="F38" s="37">
        <f>F30+F36</f>
        <v>39914</v>
      </c>
      <c r="H38" s="19">
        <f>(C38/C$22)</f>
        <v>0.88613193807648738</v>
      </c>
      <c r="I38" s="19">
        <f t="shared" ref="I38:J38" si="12">(D38/D$22)</f>
        <v>0.86970032026841548</v>
      </c>
      <c r="J38" s="19">
        <f t="shared" si="12"/>
        <v>0.82477307110438725</v>
      </c>
    </row>
    <row r="39" spans="1:10" ht="15" customHeight="1" x14ac:dyDescent="0.2">
      <c r="B39" s="38"/>
      <c r="C39" s="37"/>
      <c r="D39" s="37"/>
      <c r="E39" s="37"/>
      <c r="F39" s="37"/>
    </row>
    <row r="40" spans="1:10" ht="15" customHeight="1" x14ac:dyDescent="0.2">
      <c r="C40" s="13"/>
      <c r="D40" s="13"/>
      <c r="E40" s="13"/>
      <c r="F40" s="13"/>
    </row>
    <row r="41" spans="1:10" ht="15" customHeight="1" x14ac:dyDescent="0.2">
      <c r="B41" s="35" t="s">
        <v>117</v>
      </c>
      <c r="C41" s="13"/>
      <c r="D41" s="13"/>
      <c r="E41" s="13"/>
      <c r="F41" s="13"/>
    </row>
    <row r="42" spans="1:10" ht="15" customHeight="1" x14ac:dyDescent="0.2">
      <c r="B42" s="4" t="s">
        <v>118</v>
      </c>
      <c r="C42" s="16">
        <v>234</v>
      </c>
      <c r="D42" s="16">
        <v>240</v>
      </c>
      <c r="E42" s="16">
        <v>254</v>
      </c>
      <c r="F42" s="16">
        <v>271</v>
      </c>
    </row>
    <row r="43" spans="1:10" ht="15" customHeight="1" x14ac:dyDescent="0.2">
      <c r="B43" s="4" t="s">
        <v>119</v>
      </c>
      <c r="C43" s="16">
        <v>-8452</v>
      </c>
      <c r="D43" s="16">
        <v>-8803</v>
      </c>
      <c r="E43" s="16">
        <v>-8023</v>
      </c>
      <c r="F43" s="16">
        <v>-11006</v>
      </c>
    </row>
    <row r="44" spans="1:10" ht="15" customHeight="1" x14ac:dyDescent="0.2">
      <c r="A44" s="39" t="s">
        <v>120</v>
      </c>
      <c r="B44" s="39" t="s">
        <v>121</v>
      </c>
      <c r="C44" s="40">
        <v>0</v>
      </c>
      <c r="D44" s="40">
        <v>0</v>
      </c>
      <c r="E44" s="40">
        <v>92</v>
      </c>
      <c r="F44" s="40">
        <v>94</v>
      </c>
    </row>
    <row r="45" spans="1:10" ht="15" customHeight="1" x14ac:dyDescent="0.2">
      <c r="B45" s="41" t="s">
        <v>122</v>
      </c>
      <c r="C45" s="16">
        <v>14551</v>
      </c>
      <c r="D45" s="16">
        <v>15398</v>
      </c>
      <c r="E45" s="16">
        <v>16943</v>
      </c>
      <c r="F45" s="16">
        <v>21600</v>
      </c>
    </row>
    <row r="46" spans="1:10" ht="15" customHeight="1" x14ac:dyDescent="0.2">
      <c r="B46" s="24" t="s">
        <v>123</v>
      </c>
      <c r="C46" s="25">
        <f>SUM(C42:C45)</f>
        <v>6333</v>
      </c>
      <c r="D46" s="25">
        <f>SUM(D42:D45)</f>
        <v>6835</v>
      </c>
      <c r="E46" s="25">
        <f>SUM(E42:E45)</f>
        <v>9266</v>
      </c>
      <c r="F46" s="25">
        <f>SUM(F42:F45)</f>
        <v>10959</v>
      </c>
      <c r="H46" s="19">
        <f>(C46/C$22)</f>
        <v>0.11386806192351259</v>
      </c>
      <c r="I46" s="19">
        <f t="shared" ref="I46:J46" si="13">(D46/D$22)</f>
        <v>0.13029967973158457</v>
      </c>
      <c r="J46" s="19">
        <f t="shared" si="13"/>
        <v>0.1752269288956127</v>
      </c>
    </row>
    <row r="47" spans="1:10" ht="15" customHeight="1" x14ac:dyDescent="0.2">
      <c r="C47" s="13"/>
      <c r="D47" s="13"/>
      <c r="E47" s="13"/>
      <c r="F47" s="13"/>
    </row>
    <row r="48" spans="1:10" ht="15" customHeight="1" x14ac:dyDescent="0.2">
      <c r="B48" s="36" t="s">
        <v>124</v>
      </c>
      <c r="C48" s="37">
        <f>C38+C46</f>
        <v>55617</v>
      </c>
      <c r="D48" s="37">
        <f>D38+D46</f>
        <v>52456</v>
      </c>
      <c r="E48" s="37">
        <f>E38+E46</f>
        <v>52880</v>
      </c>
      <c r="F48" s="37">
        <f>F38+F46</f>
        <v>50873</v>
      </c>
    </row>
    <row r="49" spans="2:13" ht="15" customHeight="1" x14ac:dyDescent="0.2"/>
    <row r="55" spans="2:13" ht="20" x14ac:dyDescent="0.2">
      <c r="B55" s="42" t="s">
        <v>428</v>
      </c>
    </row>
    <row r="56" spans="2:13" x14ac:dyDescent="0.2">
      <c r="B56" s="12" t="s">
        <v>133</v>
      </c>
      <c r="C56" s="12" t="s">
        <v>134</v>
      </c>
      <c r="D56" s="12" t="s">
        <v>43</v>
      </c>
      <c r="E56" s="12" t="s">
        <v>44</v>
      </c>
      <c r="F56" s="12" t="s">
        <v>45</v>
      </c>
      <c r="I56" s="130" t="s">
        <v>135</v>
      </c>
      <c r="J56" s="131"/>
      <c r="K56" s="131"/>
      <c r="L56" s="131"/>
      <c r="M56" s="131"/>
    </row>
    <row r="57" spans="2:13" s="113" customFormat="1" ht="129" customHeight="1" x14ac:dyDescent="0.2">
      <c r="B57" s="43" t="s">
        <v>136</v>
      </c>
      <c r="C57" s="44" t="s">
        <v>137</v>
      </c>
      <c r="D57" s="114">
        <f>C46/C22</f>
        <v>0.11386806192351259</v>
      </c>
      <c r="E57" s="114">
        <f>D46/D22</f>
        <v>0.13029967973158457</v>
      </c>
      <c r="F57" s="114">
        <f>E46/E22</f>
        <v>0.1752269288956127</v>
      </c>
      <c r="G57" s="115"/>
      <c r="H57" s="115"/>
      <c r="I57" s="132" t="s">
        <v>437</v>
      </c>
      <c r="J57" s="133"/>
      <c r="K57" s="133"/>
      <c r="L57" s="133"/>
      <c r="M57" s="133"/>
    </row>
    <row r="58" spans="2:13" ht="65" customHeight="1" x14ac:dyDescent="0.2">
      <c r="B58" s="43" t="s">
        <v>138</v>
      </c>
      <c r="C58" s="44" t="s">
        <v>139</v>
      </c>
      <c r="D58" s="45">
        <f>(C27+C34)/(C27+C34+C46)</f>
        <v>0.76194414163816115</v>
      </c>
      <c r="E58" s="45">
        <f>(D27+D34)/(D27+D34+D46)</f>
        <v>0.71865481188770886</v>
      </c>
      <c r="F58" s="45">
        <f>(E27+E34)/(E27+E34+E46)</f>
        <v>0.62478234460417092</v>
      </c>
      <c r="G58" s="116"/>
      <c r="H58" s="116"/>
      <c r="I58" s="132" t="s">
        <v>438</v>
      </c>
      <c r="J58" s="133"/>
      <c r="K58" s="133"/>
      <c r="L58" s="133"/>
      <c r="M58" s="133"/>
    </row>
    <row r="59" spans="2:13" ht="78" customHeight="1" x14ac:dyDescent="0.2">
      <c r="B59" s="43" t="s">
        <v>140</v>
      </c>
      <c r="C59" s="44" t="s">
        <v>141</v>
      </c>
      <c r="D59" s="47">
        <f>'Income Statement'!C10/C9</f>
        <v>8.1510428604171441</v>
      </c>
      <c r="E59" s="47">
        <f>'Income Statement'!D10/D9</f>
        <v>8.0763440860215052</v>
      </c>
      <c r="F59" s="47">
        <f>'Income Statement'!E10/E9</f>
        <v>8.2815047021943577</v>
      </c>
      <c r="G59" s="116"/>
      <c r="H59" s="116"/>
      <c r="I59" s="128" t="s">
        <v>439</v>
      </c>
      <c r="J59" s="129"/>
      <c r="K59" s="129"/>
      <c r="L59" s="129"/>
      <c r="M59" s="129"/>
    </row>
    <row r="60" spans="2:13" ht="78" customHeight="1" x14ac:dyDescent="0.2">
      <c r="B60" s="43" t="s">
        <v>142</v>
      </c>
      <c r="C60" s="44" t="s">
        <v>143</v>
      </c>
      <c r="D60" s="45">
        <f>C13/C22</f>
        <v>0.60715248934678245</v>
      </c>
      <c r="E60" s="45">
        <f>D13/D22</f>
        <v>0.6087959432667378</v>
      </c>
      <c r="F60" s="45">
        <f>E13/E22</f>
        <v>0.60304462934947045</v>
      </c>
      <c r="G60" s="116"/>
      <c r="H60" s="116"/>
      <c r="I60" s="128" t="s">
        <v>144</v>
      </c>
      <c r="J60" s="129"/>
      <c r="K60" s="129"/>
      <c r="L60" s="129"/>
      <c r="M60" s="129"/>
    </row>
    <row r="61" spans="2:13" ht="78" customHeight="1" x14ac:dyDescent="0.2">
      <c r="B61" s="43" t="s">
        <v>145</v>
      </c>
      <c r="C61" s="44" t="s">
        <v>146</v>
      </c>
      <c r="D61" s="45">
        <f>C20/C22</f>
        <v>0.39284751065321755</v>
      </c>
      <c r="E61" s="45">
        <f>D20/D22</f>
        <v>0.39120405673326214</v>
      </c>
      <c r="F61" s="45">
        <f>E20/E22</f>
        <v>0.39695537065052949</v>
      </c>
      <c r="G61" s="116"/>
      <c r="H61" s="116"/>
      <c r="I61" s="128" t="s">
        <v>147</v>
      </c>
      <c r="J61" s="129"/>
      <c r="K61" s="129"/>
      <c r="L61" s="129"/>
      <c r="M61" s="129"/>
    </row>
  </sheetData>
  <mergeCells count="8">
    <mergeCell ref="I60:M60"/>
    <mergeCell ref="I61:M61"/>
    <mergeCell ref="I56:M56"/>
    <mergeCell ref="B2:F2"/>
    <mergeCell ref="B3:F3"/>
    <mergeCell ref="I57:M57"/>
    <mergeCell ref="I58:M58"/>
    <mergeCell ref="I59:M5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48"/>
  <sheetViews>
    <sheetView showGridLines="0" zoomScale="75" zoomScaleNormal="100" workbookViewId="0">
      <selection activeCell="E31" sqref="E31"/>
    </sheetView>
  </sheetViews>
  <sheetFormatPr baseColWidth="10" defaultColWidth="8.6640625" defaultRowHeight="15" x14ac:dyDescent="0.2"/>
  <cols>
    <col min="1" max="1" width="2" style="1" customWidth="1"/>
    <col min="2" max="2" width="38" style="1" customWidth="1"/>
    <col min="3" max="3" width="28" style="1" customWidth="1"/>
    <col min="4" max="6" width="14" style="1" customWidth="1"/>
    <col min="7" max="7" width="8" style="1" customWidth="1"/>
    <col min="8" max="8" width="52" style="1" customWidth="1"/>
    <col min="10" max="14" width="12" style="1" customWidth="1"/>
  </cols>
  <sheetData>
    <row r="2" spans="2:14" ht="19.5" customHeight="1" x14ac:dyDescent="0.2">
      <c r="B2" s="134" t="s">
        <v>148</v>
      </c>
      <c r="C2" s="134"/>
      <c r="D2" s="134"/>
      <c r="E2" s="134"/>
      <c r="F2" s="134"/>
      <c r="G2" s="134"/>
      <c r="H2" s="134"/>
    </row>
    <row r="3" spans="2:14" ht="15" customHeight="1" x14ac:dyDescent="0.2">
      <c r="B3" s="135" t="s">
        <v>149</v>
      </c>
      <c r="C3" s="135"/>
      <c r="D3" s="135"/>
      <c r="E3" s="135"/>
      <c r="F3" s="135"/>
      <c r="G3" s="135"/>
      <c r="H3" s="135"/>
    </row>
    <row r="5" spans="2:14" ht="15" customHeight="1" x14ac:dyDescent="0.2">
      <c r="B5" s="12" t="s">
        <v>133</v>
      </c>
      <c r="C5" s="12" t="s">
        <v>134</v>
      </c>
      <c r="D5" s="12" t="s">
        <v>43</v>
      </c>
      <c r="E5" s="12" t="s">
        <v>44</v>
      </c>
      <c r="F5" s="12" t="s">
        <v>45</v>
      </c>
      <c r="G5" s="12" t="s">
        <v>150</v>
      </c>
      <c r="H5" s="12" t="s">
        <v>135</v>
      </c>
      <c r="I5" s="110"/>
      <c r="J5" s="108" t="s">
        <v>50</v>
      </c>
      <c r="K5" s="12" t="s">
        <v>151</v>
      </c>
      <c r="L5" s="12" t="s">
        <v>152</v>
      </c>
      <c r="M5" s="12" t="s">
        <v>153</v>
      </c>
      <c r="N5" s="12" t="s">
        <v>154</v>
      </c>
    </row>
    <row r="6" spans="2:14" ht="15" customHeight="1" x14ac:dyDescent="0.2">
      <c r="B6" s="48" t="s">
        <v>155</v>
      </c>
      <c r="C6" s="49"/>
      <c r="D6" s="49"/>
      <c r="E6" s="49"/>
      <c r="F6" s="49"/>
      <c r="G6" s="49"/>
      <c r="H6" s="49"/>
      <c r="I6" s="111"/>
      <c r="J6" s="109">
        <v>2022</v>
      </c>
      <c r="K6" s="50">
        <f>F8</f>
        <v>20.645870349678532</v>
      </c>
      <c r="L6" s="50">
        <f>F9</f>
        <v>13.843970020440608</v>
      </c>
      <c r="M6" s="50">
        <f>F10</f>
        <v>14.153920832341141</v>
      </c>
      <c r="N6" s="50">
        <f>F11</f>
        <v>20.335919537777997</v>
      </c>
    </row>
    <row r="7" spans="2:14" ht="34" customHeight="1" x14ac:dyDescent="0.2">
      <c r="B7" s="43" t="s">
        <v>156</v>
      </c>
      <c r="C7" s="44" t="s">
        <v>157</v>
      </c>
      <c r="D7" s="51">
        <f>'Income Statement'!C10/AVERAGE('Balance Sheet'!C22,'Balance Sheet'!D22)</f>
        <v>1.3162584549332397</v>
      </c>
      <c r="E7" s="51">
        <f>'Income Statement'!D10/AVERAGE('Balance Sheet'!D22,'Balance Sheet'!E22)</f>
        <v>1.2834928229665072</v>
      </c>
      <c r="F7" s="51">
        <f>'Income Statement'!E10/AVERAGE('Balance Sheet'!E22,'Balance Sheet'!F22)</f>
        <v>1.273119813402986</v>
      </c>
      <c r="G7" s="52" t="s">
        <v>158</v>
      </c>
      <c r="H7" s="53" t="s">
        <v>448</v>
      </c>
      <c r="I7" s="110"/>
      <c r="J7" s="109">
        <v>2023</v>
      </c>
      <c r="K7" s="50">
        <f>E8</f>
        <v>20.35504433602792</v>
      </c>
      <c r="L7" s="50">
        <f>E9</f>
        <v>11.511708753088064</v>
      </c>
      <c r="M7" s="50">
        <f>E10</f>
        <v>15.025818168868629</v>
      </c>
      <c r="N7" s="50">
        <f>E11</f>
        <v>16.840934920247353</v>
      </c>
    </row>
    <row r="8" spans="2:14" ht="34" customHeight="1" x14ac:dyDescent="0.2">
      <c r="B8" s="43" t="s">
        <v>159</v>
      </c>
      <c r="C8" s="44" t="s">
        <v>160</v>
      </c>
      <c r="D8" s="51">
        <f>'Balance Sheet'!C16/'Income Statement'!C13*(-365)</f>
        <v>20.802736489811991</v>
      </c>
      <c r="E8" s="51">
        <f>'Balance Sheet'!D16/'Income Statement'!D13*(-365)</f>
        <v>20.35504433602792</v>
      </c>
      <c r="F8" s="51">
        <f>'Balance Sheet'!E16/'Income Statement'!E13*(-365)</f>
        <v>20.645870349678532</v>
      </c>
      <c r="G8" s="52" t="s">
        <v>158</v>
      </c>
      <c r="H8" s="53" t="s">
        <v>449</v>
      </c>
      <c r="I8" s="110"/>
      <c r="J8" s="109">
        <v>2024</v>
      </c>
      <c r="K8" s="50">
        <f>D8</f>
        <v>20.802736489811991</v>
      </c>
      <c r="L8" s="50">
        <f>D9</f>
        <v>12.064716137558699</v>
      </c>
      <c r="M8" s="50">
        <f>D10</f>
        <v>13.305607507300587</v>
      </c>
      <c r="N8" s="50">
        <f>D11</f>
        <v>19.561845120070103</v>
      </c>
    </row>
    <row r="9" spans="2:14" ht="34" customHeight="1" x14ac:dyDescent="0.2">
      <c r="B9" s="43" t="s">
        <v>161</v>
      </c>
      <c r="C9" s="44" t="s">
        <v>162</v>
      </c>
      <c r="D9" s="51">
        <f>'Balance Sheet'!C17/'Income Statement'!C10*365</f>
        <v>12.064716137558699</v>
      </c>
      <c r="E9" s="51">
        <f>'Balance Sheet'!D17/'Income Statement'!D10*365</f>
        <v>11.511708753088064</v>
      </c>
      <c r="F9" s="51">
        <f>'Balance Sheet'!E17/'Income Statement'!E10*365</f>
        <v>13.843970020440608</v>
      </c>
      <c r="G9" s="52" t="s">
        <v>158</v>
      </c>
      <c r="H9" s="53" t="s">
        <v>450</v>
      </c>
      <c r="I9" s="110"/>
    </row>
    <row r="10" spans="2:14" ht="34" customHeight="1" x14ac:dyDescent="0.2">
      <c r="B10" s="43" t="s">
        <v>163</v>
      </c>
      <c r="C10" s="44" t="s">
        <v>164</v>
      </c>
      <c r="D10" s="51">
        <f>'Balance Sheet'!C33/ABS('Income Statement'!C13)*365</f>
        <v>13.305607507300587</v>
      </c>
      <c r="E10" s="51">
        <f>'Balance Sheet'!D33/ABS('Income Statement'!D13)*365</f>
        <v>15.025818168868629</v>
      </c>
      <c r="F10" s="51">
        <f>'Balance Sheet'!E33/ABS('Income Statement'!E13)*365</f>
        <v>14.153920832341141</v>
      </c>
      <c r="G10" s="52" t="s">
        <v>165</v>
      </c>
      <c r="H10" s="53" t="s">
        <v>451</v>
      </c>
      <c r="I10" s="110"/>
      <c r="J10"/>
      <c r="K10"/>
      <c r="L10"/>
      <c r="M10"/>
      <c r="N10"/>
    </row>
    <row r="11" spans="2:14" ht="34" customHeight="1" x14ac:dyDescent="0.2">
      <c r="B11" s="43" t="s">
        <v>166</v>
      </c>
      <c r="C11" s="44" t="s">
        <v>167</v>
      </c>
      <c r="D11" s="51">
        <f>D8+D9-D10</f>
        <v>19.561845120070103</v>
      </c>
      <c r="E11" s="51">
        <f>E8+E9-E10</f>
        <v>16.840934920247353</v>
      </c>
      <c r="F11" s="51">
        <f>F8+F9-F10</f>
        <v>20.335919537777997</v>
      </c>
      <c r="G11" s="52" t="s">
        <v>168</v>
      </c>
      <c r="H11" s="53" t="s">
        <v>452</v>
      </c>
      <c r="I11" s="110"/>
      <c r="J11"/>
      <c r="K11"/>
      <c r="L11"/>
      <c r="M11"/>
      <c r="N11"/>
    </row>
    <row r="12" spans="2:14" x14ac:dyDescent="0.2">
      <c r="I12" s="110"/>
      <c r="J12"/>
      <c r="K12"/>
      <c r="L12"/>
      <c r="M12"/>
      <c r="N12"/>
    </row>
    <row r="13" spans="2:14" ht="15" customHeight="1" x14ac:dyDescent="0.2">
      <c r="B13" s="48" t="s">
        <v>169</v>
      </c>
      <c r="C13" s="49"/>
      <c r="D13" s="49"/>
      <c r="E13" s="49"/>
      <c r="F13" s="49"/>
      <c r="G13" s="49"/>
      <c r="H13" s="49"/>
      <c r="I13" s="111"/>
      <c r="J13"/>
      <c r="K13"/>
      <c r="L13"/>
      <c r="M13"/>
      <c r="N13"/>
    </row>
    <row r="14" spans="2:14" ht="34" customHeight="1" x14ac:dyDescent="0.2">
      <c r="B14" s="43" t="s">
        <v>170</v>
      </c>
      <c r="C14" s="44" t="s">
        <v>171</v>
      </c>
      <c r="D14" s="117">
        <v>6972</v>
      </c>
      <c r="E14" s="117">
        <v>7920</v>
      </c>
      <c r="F14" s="117">
        <v>7802</v>
      </c>
      <c r="G14" s="52" t="s">
        <v>165</v>
      </c>
      <c r="H14" s="53" t="s">
        <v>453</v>
      </c>
      <c r="I14" s="110"/>
      <c r="J14"/>
      <c r="K14"/>
      <c r="L14"/>
      <c r="M14"/>
      <c r="N14"/>
    </row>
    <row r="15" spans="2:14" ht="34" customHeight="1" x14ac:dyDescent="0.2">
      <c r="B15" s="43" t="s">
        <v>172</v>
      </c>
      <c r="C15" s="44" t="s">
        <v>171</v>
      </c>
      <c r="D15" s="117">
        <v>-1792</v>
      </c>
      <c r="E15" s="117">
        <v>-1694</v>
      </c>
      <c r="F15" s="117">
        <v>-1789</v>
      </c>
      <c r="G15" s="52" t="s">
        <v>158</v>
      </c>
      <c r="H15" s="53" t="s">
        <v>173</v>
      </c>
      <c r="I15" s="110"/>
      <c r="J15"/>
      <c r="K15"/>
      <c r="L15"/>
      <c r="M15"/>
      <c r="N15"/>
    </row>
    <row r="16" spans="2:14" ht="34" customHeight="1" x14ac:dyDescent="0.2">
      <c r="B16" s="43" t="s">
        <v>174</v>
      </c>
      <c r="C16" s="44" t="s">
        <v>171</v>
      </c>
      <c r="D16" s="117">
        <v>-4139</v>
      </c>
      <c r="E16" s="117">
        <v>-7331</v>
      </c>
      <c r="F16" s="117">
        <v>-7070</v>
      </c>
      <c r="G16" s="52" t="s">
        <v>168</v>
      </c>
      <c r="H16" s="53" t="s">
        <v>175</v>
      </c>
      <c r="I16" s="110"/>
      <c r="J16"/>
      <c r="K16"/>
      <c r="L16"/>
      <c r="M16"/>
      <c r="N16"/>
    </row>
    <row r="17" spans="2:14" ht="34" customHeight="1" x14ac:dyDescent="0.2">
      <c r="B17" s="43" t="s">
        <v>176</v>
      </c>
      <c r="C17" s="44">
        <f>'Income Statement'!CW35</f>
        <v>0</v>
      </c>
      <c r="D17" s="117">
        <f>'Income Statement'!C35</f>
        <v>5336</v>
      </c>
      <c r="E17" s="117">
        <f>'Income Statement'!D35</f>
        <v>6920</v>
      </c>
      <c r="F17" s="117">
        <f>'Income Statement'!E35</f>
        <v>5732</v>
      </c>
      <c r="G17" s="52" t="s">
        <v>165</v>
      </c>
      <c r="H17" s="53" t="s">
        <v>454</v>
      </c>
      <c r="I17" s="110"/>
      <c r="J17"/>
      <c r="K17"/>
      <c r="L17"/>
      <c r="M17"/>
      <c r="N17"/>
    </row>
    <row r="18" spans="2:14" ht="34" customHeight="1" x14ac:dyDescent="0.2">
      <c r="B18" s="43" t="s">
        <v>177</v>
      </c>
      <c r="C18" s="44" t="s">
        <v>171</v>
      </c>
      <c r="D18" s="117">
        <v>-1685</v>
      </c>
      <c r="E18" s="117">
        <v>-1691</v>
      </c>
      <c r="F18" s="117">
        <v>-1670</v>
      </c>
      <c r="G18" s="52" t="s">
        <v>158</v>
      </c>
      <c r="H18" s="53" t="s">
        <v>178</v>
      </c>
      <c r="I18" s="110"/>
      <c r="J18"/>
      <c r="K18"/>
      <c r="L18"/>
      <c r="M18"/>
      <c r="N18"/>
    </row>
    <row r="19" spans="2:14" ht="34" customHeight="1" x14ac:dyDescent="0.2">
      <c r="B19" s="43" t="s">
        <v>179</v>
      </c>
      <c r="C19" s="44" t="s">
        <v>180</v>
      </c>
      <c r="D19" s="51">
        <f>D14/D17</f>
        <v>1.3065967016491755</v>
      </c>
      <c r="E19" s="51">
        <f>E14/E17</f>
        <v>1.1445086705202312</v>
      </c>
      <c r="F19" s="51">
        <f>F14/F17</f>
        <v>1.3611304954640615</v>
      </c>
      <c r="G19" s="52" t="s">
        <v>181</v>
      </c>
      <c r="H19" s="53" t="s">
        <v>455</v>
      </c>
      <c r="I19" s="110"/>
      <c r="J19"/>
      <c r="K19"/>
      <c r="L19"/>
      <c r="M19"/>
      <c r="N19"/>
    </row>
    <row r="20" spans="2:14" ht="34" customHeight="1" x14ac:dyDescent="0.2">
      <c r="B20" s="43" t="s">
        <v>182</v>
      </c>
      <c r="C20" s="44" t="s">
        <v>183</v>
      </c>
      <c r="D20" s="51">
        <f>D14/ABS(D18)</f>
        <v>4.137685459940653</v>
      </c>
      <c r="E20" s="51">
        <f>E14/ABS(E18)</f>
        <v>4.6836191602602009</v>
      </c>
      <c r="F20" s="51">
        <f>F14/ABS(F18)</f>
        <v>4.6718562874251495</v>
      </c>
      <c r="G20" s="52" t="s">
        <v>181</v>
      </c>
      <c r="H20" s="53" t="s">
        <v>456</v>
      </c>
      <c r="I20" s="110"/>
      <c r="J20"/>
      <c r="K20"/>
      <c r="L20"/>
      <c r="M20"/>
      <c r="N20"/>
    </row>
    <row r="21" spans="2:14" x14ac:dyDescent="0.2">
      <c r="I21" s="110"/>
      <c r="J21"/>
      <c r="K21"/>
      <c r="L21"/>
      <c r="M21"/>
      <c r="N21"/>
    </row>
    <row r="22" spans="2:14" ht="15" customHeight="1" x14ac:dyDescent="0.2">
      <c r="B22" s="48" t="s">
        <v>184</v>
      </c>
      <c r="C22" s="49"/>
      <c r="D22" s="49"/>
      <c r="E22" s="49"/>
      <c r="F22" s="49"/>
      <c r="G22" s="49"/>
      <c r="H22" s="49"/>
      <c r="I22" s="111"/>
    </row>
    <row r="23" spans="2:14" ht="50" customHeight="1" x14ac:dyDescent="0.2">
      <c r="B23" s="43" t="s">
        <v>185</v>
      </c>
      <c r="C23" s="44" t="s">
        <v>186</v>
      </c>
      <c r="D23" s="45">
        <f>D14/'Income Statement'!C10</f>
        <v>9.8023226386975221E-2</v>
      </c>
      <c r="E23" s="45">
        <f>E14/'Income Statement'!D10</f>
        <v>0.11716149647184131</v>
      </c>
      <c r="F23" s="45">
        <f>F14/'Income Statement'!E10</f>
        <v>0.11813157695510637</v>
      </c>
      <c r="G23" s="54" t="s">
        <v>165</v>
      </c>
      <c r="H23" s="55" t="s">
        <v>457</v>
      </c>
      <c r="I23" s="110"/>
    </row>
    <row r="24" spans="2:14" ht="34" customHeight="1" x14ac:dyDescent="0.2">
      <c r="B24" s="43" t="s">
        <v>187</v>
      </c>
      <c r="C24" s="44" t="s">
        <v>188</v>
      </c>
      <c r="D24" s="51">
        <f>(D14-ABS(D18))/D17</f>
        <v>0.99081709145427288</v>
      </c>
      <c r="E24" s="51">
        <f>(E14-ABS(E18))/E17</f>
        <v>0.9001445086705202</v>
      </c>
      <c r="F24" s="51">
        <f>(F14-ABS(F18))/F17</f>
        <v>1.0697836706210746</v>
      </c>
      <c r="G24" s="52" t="s">
        <v>158</v>
      </c>
      <c r="H24" s="53" t="s">
        <v>458</v>
      </c>
      <c r="I24" s="110"/>
      <c r="J24"/>
      <c r="K24"/>
      <c r="L24"/>
      <c r="M24"/>
      <c r="N24"/>
    </row>
    <row r="25" spans="2:14" ht="34" customHeight="1" x14ac:dyDescent="0.2">
      <c r="B25" s="43" t="s">
        <v>189</v>
      </c>
      <c r="C25" s="44" t="s">
        <v>190</v>
      </c>
      <c r="D25" s="51">
        <f>ABS(D18)/ABS('Income Statement'!C20)</f>
        <v>1.0808210391276458</v>
      </c>
      <c r="E25" s="51">
        <f>ABS(E18)/ABS('Income Statement'!D20)</f>
        <v>1.1825174825174825</v>
      </c>
      <c r="F25" s="51">
        <f>ABS(F18)/ABS('Income Statement'!E20)</f>
        <v>1.1894586894586894</v>
      </c>
      <c r="G25" s="54" t="s">
        <v>165</v>
      </c>
      <c r="H25" s="58" t="s">
        <v>191</v>
      </c>
      <c r="I25" s="110"/>
      <c r="J25" s="108" t="s">
        <v>50</v>
      </c>
      <c r="K25" s="12" t="s">
        <v>192</v>
      </c>
      <c r="L25" s="12" t="s">
        <v>193</v>
      </c>
      <c r="M25" s="12" t="s">
        <v>65</v>
      </c>
    </row>
    <row r="26" spans="2:14" ht="43" customHeight="1" x14ac:dyDescent="0.2">
      <c r="B26" s="43" t="s">
        <v>194</v>
      </c>
      <c r="C26" s="44" t="s">
        <v>195</v>
      </c>
      <c r="D26" s="45">
        <f>ABS(D18)/'Income Statement'!C10</f>
        <v>2.3690352332480388E-2</v>
      </c>
      <c r="E26" s="45">
        <f>ABS(E18)/'Income Statement'!D10</f>
        <v>2.501516294619743E-2</v>
      </c>
      <c r="F26" s="45">
        <f>ABS(F18)/'Income Statement'!E10</f>
        <v>2.5285789991672344E-2</v>
      </c>
      <c r="G26" s="52" t="s">
        <v>158</v>
      </c>
      <c r="H26" s="53" t="s">
        <v>459</v>
      </c>
      <c r="I26" s="110"/>
      <c r="J26" s="109">
        <v>2022</v>
      </c>
      <c r="K26" s="60">
        <v>7802</v>
      </c>
      <c r="L26" s="60">
        <v>6132</v>
      </c>
      <c r="M26" s="34">
        <f>F17</f>
        <v>5732</v>
      </c>
    </row>
    <row r="27" spans="2:14" ht="15" customHeight="1" x14ac:dyDescent="0.2">
      <c r="I27" s="110"/>
      <c r="J27" s="109">
        <v>2023</v>
      </c>
      <c r="K27" s="60">
        <v>7920</v>
      </c>
      <c r="L27" s="60">
        <v>6229</v>
      </c>
      <c r="M27" s="34">
        <f>E17</f>
        <v>6920</v>
      </c>
    </row>
    <row r="28" spans="2:14" ht="15" customHeight="1" x14ac:dyDescent="0.2">
      <c r="B28" s="48" t="s">
        <v>196</v>
      </c>
      <c r="C28" s="49"/>
      <c r="D28" s="49"/>
      <c r="E28" s="49"/>
      <c r="F28" s="49"/>
      <c r="G28" s="49"/>
      <c r="H28" s="49"/>
      <c r="I28" s="111"/>
      <c r="J28" s="109">
        <v>2024</v>
      </c>
      <c r="K28" s="60">
        <v>6972</v>
      </c>
      <c r="L28" s="60">
        <v>5287</v>
      </c>
      <c r="M28" s="34">
        <f>D17</f>
        <v>5336</v>
      </c>
    </row>
    <row r="29" spans="2:14" ht="17.25" customHeight="1" x14ac:dyDescent="0.2">
      <c r="B29" s="43" t="s">
        <v>98</v>
      </c>
      <c r="C29" s="44"/>
      <c r="D29" s="59">
        <f>'Balance Sheet'!C20</f>
        <v>21849</v>
      </c>
      <c r="E29" s="59">
        <f>'Balance Sheet'!D20</f>
        <v>20521</v>
      </c>
      <c r="F29" s="59">
        <f>'Balance Sheet'!E20</f>
        <v>20991</v>
      </c>
      <c r="G29" s="52"/>
      <c r="H29" s="58"/>
      <c r="I29" s="110"/>
    </row>
    <row r="30" spans="2:14" ht="17.25" customHeight="1" x14ac:dyDescent="0.2">
      <c r="B30" s="43" t="s">
        <v>111</v>
      </c>
      <c r="C30" s="44"/>
      <c r="D30" s="59">
        <f>'Balance Sheet'!C36</f>
        <v>19420</v>
      </c>
      <c r="E30" s="59">
        <f>'Balance Sheet'!D36</f>
        <v>16937</v>
      </c>
      <c r="F30" s="59">
        <f>'Balance Sheet'!E36</f>
        <v>15887</v>
      </c>
      <c r="G30" s="52"/>
      <c r="H30" s="58"/>
      <c r="I30" s="110"/>
    </row>
    <row r="31" spans="2:14" ht="38" customHeight="1" x14ac:dyDescent="0.2">
      <c r="B31" s="56" t="s">
        <v>197</v>
      </c>
      <c r="C31" s="57" t="s">
        <v>198</v>
      </c>
      <c r="D31" s="61">
        <f>D29-D30</f>
        <v>2429</v>
      </c>
      <c r="E31" s="61">
        <f>E29-E30</f>
        <v>3584</v>
      </c>
      <c r="F31" s="61">
        <f>F29-F30</f>
        <v>5104</v>
      </c>
      <c r="G31" s="54" t="s">
        <v>165</v>
      </c>
      <c r="H31" s="46" t="s">
        <v>199</v>
      </c>
      <c r="I31" s="110"/>
    </row>
    <row r="32" spans="2:14" ht="30" customHeight="1" x14ac:dyDescent="0.2">
      <c r="B32" s="43" t="s">
        <v>200</v>
      </c>
      <c r="C32" s="44" t="s">
        <v>201</v>
      </c>
      <c r="D32" s="45">
        <f>D31/'Income Statement'!C10</f>
        <v>3.415066220510081E-2</v>
      </c>
      <c r="E32" s="45">
        <f>E31/'Income Statement'!D10</f>
        <v>5.301853577715647E-2</v>
      </c>
      <c r="F32" s="45">
        <f>F31/'Income Statement'!E10</f>
        <v>7.7280641986524345E-2</v>
      </c>
      <c r="G32" s="54" t="s">
        <v>165</v>
      </c>
      <c r="H32" s="46" t="s">
        <v>202</v>
      </c>
      <c r="I32" s="110"/>
    </row>
    <row r="33" spans="2:9" x14ac:dyDescent="0.2">
      <c r="I33" s="110"/>
    </row>
    <row r="34" spans="2:9" ht="15" customHeight="1" x14ac:dyDescent="0.2">
      <c r="B34" s="48" t="s">
        <v>203</v>
      </c>
      <c r="C34" s="49"/>
      <c r="D34" s="49"/>
      <c r="E34" s="49"/>
      <c r="F34" s="49"/>
      <c r="G34" s="49"/>
      <c r="H34" s="49"/>
      <c r="I34" s="111"/>
    </row>
    <row r="35" spans="2:9" ht="17.25" customHeight="1" x14ac:dyDescent="0.2">
      <c r="B35" s="43" t="s">
        <v>99</v>
      </c>
      <c r="C35" s="44"/>
      <c r="D35" s="59">
        <f>'Balance Sheet'!C16</f>
        <v>3474</v>
      </c>
      <c r="E35" s="59">
        <f>'Balance Sheet'!D16</f>
        <v>3132</v>
      </c>
      <c r="F35" s="59">
        <f>'Balance Sheet'!E16</f>
        <v>3088</v>
      </c>
      <c r="G35" s="52"/>
      <c r="H35" s="58"/>
      <c r="I35" s="110"/>
    </row>
    <row r="36" spans="2:9" ht="17.25" customHeight="1" x14ac:dyDescent="0.2">
      <c r="B36" s="43" t="s">
        <v>100</v>
      </c>
      <c r="C36" s="44"/>
      <c r="D36" s="59">
        <f>'Balance Sheet'!C17</f>
        <v>2351</v>
      </c>
      <c r="E36" s="59">
        <f>'Balance Sheet'!D17</f>
        <v>2132</v>
      </c>
      <c r="F36" s="59">
        <f>'Balance Sheet'!E17</f>
        <v>2505</v>
      </c>
      <c r="G36" s="52"/>
      <c r="H36" s="58"/>
      <c r="I36" s="110"/>
    </row>
    <row r="37" spans="2:9" ht="17.25" customHeight="1" x14ac:dyDescent="0.2">
      <c r="B37" s="43" t="s">
        <v>112</v>
      </c>
      <c r="C37" s="44"/>
      <c r="D37" s="59">
        <f>'Balance Sheet'!C33</f>
        <v>2222</v>
      </c>
      <c r="E37" s="59">
        <f>'Balance Sheet'!D33</f>
        <v>2312</v>
      </c>
      <c r="F37" s="59">
        <f>'Balance Sheet'!E33</f>
        <v>2117</v>
      </c>
      <c r="G37" s="52"/>
      <c r="H37" s="58"/>
      <c r="I37" s="110"/>
    </row>
    <row r="38" spans="2:9" ht="37" customHeight="1" x14ac:dyDescent="0.2">
      <c r="B38" s="56" t="s">
        <v>204</v>
      </c>
      <c r="C38" s="57" t="s">
        <v>205</v>
      </c>
      <c r="D38" s="62">
        <f>D35+D36-D37</f>
        <v>3603</v>
      </c>
      <c r="E38" s="62">
        <f>E35+E36-E37</f>
        <v>2952</v>
      </c>
      <c r="F38" s="62">
        <f>F35+F36-F37</f>
        <v>3476</v>
      </c>
      <c r="G38" s="52" t="s">
        <v>168</v>
      </c>
      <c r="H38" s="46" t="s">
        <v>206</v>
      </c>
      <c r="I38" s="110"/>
    </row>
    <row r="39" spans="2:9" x14ac:dyDescent="0.2">
      <c r="I39" s="110"/>
    </row>
    <row r="40" spans="2:9" ht="15" customHeight="1" x14ac:dyDescent="0.2">
      <c r="H40"/>
      <c r="I40" s="1"/>
    </row>
    <row r="41" spans="2:9" ht="15" customHeight="1" x14ac:dyDescent="0.2">
      <c r="H41"/>
      <c r="I41" s="1"/>
    </row>
    <row r="42" spans="2:9" ht="15" customHeight="1" x14ac:dyDescent="0.2">
      <c r="H42"/>
      <c r="I42" s="1"/>
    </row>
    <row r="43" spans="2:9" ht="15" customHeight="1" x14ac:dyDescent="0.2">
      <c r="H43"/>
      <c r="I43" s="1"/>
    </row>
    <row r="44" spans="2:9" ht="15" customHeight="1" x14ac:dyDescent="0.2">
      <c r="H44"/>
      <c r="I44" s="1"/>
    </row>
    <row r="45" spans="2:9" ht="15" customHeight="1" x14ac:dyDescent="0.2">
      <c r="H45"/>
      <c r="I45" s="1"/>
    </row>
    <row r="46" spans="2:9" ht="15" customHeight="1" x14ac:dyDescent="0.2">
      <c r="H46"/>
      <c r="I46" s="1"/>
    </row>
    <row r="47" spans="2:9" ht="15" customHeight="1" x14ac:dyDescent="0.2">
      <c r="H47"/>
      <c r="I47" s="1"/>
    </row>
    <row r="48" spans="2:9" x14ac:dyDescent="0.2">
      <c r="H48"/>
      <c r="I48" s="1"/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30"/>
  <sheetViews>
    <sheetView zoomScale="112" zoomScaleNormal="112" workbookViewId="0">
      <selection activeCell="I30" sqref="I30"/>
    </sheetView>
  </sheetViews>
  <sheetFormatPr baseColWidth="10" defaultColWidth="8.6640625" defaultRowHeight="15" x14ac:dyDescent="0.2"/>
  <cols>
    <col min="1" max="1" width="3" style="1" customWidth="1"/>
    <col min="2" max="2" width="28" style="1" customWidth="1"/>
    <col min="3" max="3" width="32" style="1" customWidth="1"/>
    <col min="4" max="6" width="12" style="1" customWidth="1"/>
    <col min="7" max="7" width="8" style="1" customWidth="1"/>
    <col min="8" max="8" width="10" style="1" customWidth="1"/>
    <col min="9" max="9" width="45" style="1" customWidth="1"/>
  </cols>
  <sheetData>
    <row r="2" spans="2:9" ht="21.75" customHeight="1" x14ac:dyDescent="0.25">
      <c r="B2" s="127" t="s">
        <v>207</v>
      </c>
      <c r="C2" s="127"/>
      <c r="D2" s="127"/>
      <c r="E2" s="127"/>
      <c r="F2" s="127"/>
      <c r="G2" s="127"/>
      <c r="H2" s="127"/>
      <c r="I2" s="127"/>
    </row>
    <row r="3" spans="2:9" ht="15" customHeight="1" x14ac:dyDescent="0.2">
      <c r="B3" s="125" t="s">
        <v>208</v>
      </c>
      <c r="C3" s="125"/>
      <c r="D3" s="125"/>
      <c r="E3" s="125"/>
      <c r="F3" s="125"/>
      <c r="G3" s="125"/>
      <c r="H3" s="125"/>
      <c r="I3" s="125"/>
    </row>
    <row r="5" spans="2:9" ht="15" customHeight="1" x14ac:dyDescent="0.2">
      <c r="B5" s="10" t="s">
        <v>209</v>
      </c>
      <c r="C5" s="10" t="s">
        <v>210</v>
      </c>
      <c r="D5" s="10" t="s">
        <v>43</v>
      </c>
      <c r="E5" s="10" t="s">
        <v>44</v>
      </c>
      <c r="F5" s="10" t="s">
        <v>45</v>
      </c>
      <c r="G5" s="10" t="s">
        <v>150</v>
      </c>
      <c r="H5" s="10" t="s">
        <v>211</v>
      </c>
      <c r="I5" s="10" t="s">
        <v>212</v>
      </c>
    </row>
    <row r="6" spans="2:9" ht="17.25" customHeight="1" x14ac:dyDescent="0.2">
      <c r="B6" s="14" t="s">
        <v>213</v>
      </c>
      <c r="C6" s="49"/>
      <c r="D6" s="49"/>
      <c r="E6" s="49"/>
      <c r="F6" s="49"/>
      <c r="G6" s="49"/>
      <c r="H6" s="49"/>
      <c r="I6" s="49"/>
    </row>
    <row r="7" spans="2:9" ht="30" customHeight="1" x14ac:dyDescent="0.2">
      <c r="B7" s="63" t="s">
        <v>214</v>
      </c>
      <c r="C7" s="64" t="s">
        <v>215</v>
      </c>
      <c r="D7" s="65">
        <f>'Income Statement'!C15/'Income Statement'!C8</f>
        <v>0.14201258392804358</v>
      </c>
      <c r="E7" s="65">
        <f>'Income Statement'!D15/'Income Statement'!D8</f>
        <v>0.16884462269316719</v>
      </c>
      <c r="F7" s="65">
        <f>'Income Statement'!E15/'Income Statement'!E8</f>
        <v>0.17263275945683801</v>
      </c>
      <c r="G7" s="66" t="s">
        <v>165</v>
      </c>
      <c r="H7" s="67" t="s">
        <v>216</v>
      </c>
      <c r="I7" s="29" t="s">
        <v>460</v>
      </c>
    </row>
    <row r="8" spans="2:9" ht="17.25" customHeight="1" x14ac:dyDescent="0.2">
      <c r="B8" s="63" t="s">
        <v>217</v>
      </c>
      <c r="C8" s="64" t="s">
        <v>218</v>
      </c>
      <c r="D8" s="65">
        <f>'Income Statement'!C24/'Income Statement'!C8</f>
        <v>0.102135326492406</v>
      </c>
      <c r="E8" s="65">
        <f>'Income Statement'!D24/'Income Statement'!D8</f>
        <v>0.13340042325849846</v>
      </c>
      <c r="F8" s="65">
        <f>'Income Statement'!E24/'Income Statement'!E8</f>
        <v>0.1106783462657614</v>
      </c>
      <c r="G8" s="66" t="s">
        <v>165</v>
      </c>
      <c r="H8" s="67" t="s">
        <v>219</v>
      </c>
      <c r="I8" s="18" t="s">
        <v>220</v>
      </c>
    </row>
    <row r="9" spans="2:9" ht="17.25" customHeight="1" x14ac:dyDescent="0.2">
      <c r="B9" s="63" t="s">
        <v>221</v>
      </c>
      <c r="C9" s="64" t="s">
        <v>222</v>
      </c>
      <c r="D9" s="65">
        <f>'Income Statement'!C35/'Income Statement'!C8</f>
        <v>7.5109440761229121E-2</v>
      </c>
      <c r="E9" s="65">
        <f>'Income Statement'!D35/'Income Statement'!D8</f>
        <v>0.1024107975314854</v>
      </c>
      <c r="F9" s="65">
        <f>'Income Statement'!E35/'Income Statement'!E8</f>
        <v>8.6869544131910767E-2</v>
      </c>
      <c r="G9" s="66" t="s">
        <v>165</v>
      </c>
      <c r="H9" s="67" t="s">
        <v>223</v>
      </c>
      <c r="I9" s="18" t="s">
        <v>224</v>
      </c>
    </row>
    <row r="10" spans="2:9" ht="17.25" customHeight="1" x14ac:dyDescent="0.2">
      <c r="B10" s="63" t="s">
        <v>225</v>
      </c>
      <c r="C10" s="64" t="s">
        <v>226</v>
      </c>
      <c r="D10" s="65">
        <f>'Income Statement'!C35/AVERAGE('Balance Sheet'!C46:D46)</f>
        <v>0.81044957472660994</v>
      </c>
      <c r="E10" s="65">
        <f>'Income Statement'!D35/AVERAGE('Balance Sheet'!D46:E46)</f>
        <v>0.85957393950686289</v>
      </c>
      <c r="F10" s="65">
        <f>'Income Statement'!E35/AVERAGE('Balance Sheet'!E46:F46)</f>
        <v>0.56682323856613104</v>
      </c>
      <c r="G10" s="68" t="s">
        <v>168</v>
      </c>
      <c r="H10" s="67" t="s">
        <v>227</v>
      </c>
      <c r="I10" s="29" t="s">
        <v>461</v>
      </c>
    </row>
    <row r="11" spans="2:9" ht="17.25" customHeight="1" x14ac:dyDescent="0.2">
      <c r="B11" s="63" t="s">
        <v>228</v>
      </c>
      <c r="C11" s="64" t="s">
        <v>229</v>
      </c>
      <c r="D11" s="65">
        <f>'Income Statement'!C35/AVERAGE('Balance Sheet'!C22:D22)</f>
        <v>9.8748068435224337E-2</v>
      </c>
      <c r="E11" s="65">
        <f>'Income Statement'!D35/AVERAGE('Balance Sheet'!D22:E22)</f>
        <v>0.13138907875749981</v>
      </c>
      <c r="F11" s="65">
        <f>'Income Statement'!E35/AVERAGE('Balance Sheet'!E22:F22)</f>
        <v>0.11049319055834531</v>
      </c>
      <c r="G11" s="66" t="s">
        <v>165</v>
      </c>
      <c r="H11" s="67" t="s">
        <v>230</v>
      </c>
      <c r="I11" s="18" t="s">
        <v>231</v>
      </c>
    </row>
    <row r="12" spans="2:9" ht="17.25" customHeight="1" x14ac:dyDescent="0.2">
      <c r="B12" s="63" t="s">
        <v>232</v>
      </c>
      <c r="C12" s="64" t="s">
        <v>233</v>
      </c>
      <c r="D12" s="65">
        <f>'Income Statement'!C24/'Balance Sheet'!C22</f>
        <v>0.13046370713990327</v>
      </c>
      <c r="E12" s="65">
        <f>'Income Statement'!D24/'Balance Sheet'!D22</f>
        <v>0.17183925575720604</v>
      </c>
      <c r="F12" s="65">
        <f>'Income Statement'!E24/'Balance Sheet'!E22</f>
        <v>0.13810514372163388</v>
      </c>
      <c r="G12" s="66" t="s">
        <v>165</v>
      </c>
      <c r="H12" s="67"/>
      <c r="I12" s="18"/>
    </row>
    <row r="13" spans="2:9" ht="17.25" customHeight="1" x14ac:dyDescent="0.2">
      <c r="B13" s="63"/>
      <c r="C13" s="64"/>
      <c r="D13" s="69"/>
      <c r="E13" s="69"/>
      <c r="F13" s="69"/>
      <c r="G13" s="70"/>
      <c r="H13" s="67"/>
      <c r="I13" s="18"/>
    </row>
    <row r="14" spans="2:9" ht="17.25" customHeight="1" x14ac:dyDescent="0.2">
      <c r="B14" s="14" t="s">
        <v>234</v>
      </c>
      <c r="C14" s="49"/>
      <c r="D14" s="49"/>
      <c r="E14" s="49"/>
      <c r="F14" s="49"/>
      <c r="G14" s="49"/>
      <c r="H14" s="49"/>
      <c r="I14" s="49"/>
    </row>
    <row r="15" spans="2:9" ht="17.25" customHeight="1" x14ac:dyDescent="0.2">
      <c r="B15" s="63" t="s">
        <v>235</v>
      </c>
      <c r="C15" s="64" t="s">
        <v>236</v>
      </c>
      <c r="D15" s="71">
        <f>'Balance Sheet'!C20/'Balance Sheet'!C36</f>
        <v>1.1250772399588054</v>
      </c>
      <c r="E15" s="71">
        <f>'Balance Sheet'!D20/'Balance Sheet'!D36</f>
        <v>1.2116077227372026</v>
      </c>
      <c r="F15" s="71">
        <f>'Balance Sheet'!E20/'Balance Sheet'!E36</f>
        <v>1.3212689620444389</v>
      </c>
      <c r="G15" s="66" t="s">
        <v>165</v>
      </c>
      <c r="H15" s="67" t="s">
        <v>237</v>
      </c>
      <c r="I15" s="29" t="s">
        <v>462</v>
      </c>
    </row>
    <row r="16" spans="2:9" ht="17.25" customHeight="1" x14ac:dyDescent="0.2">
      <c r="B16" s="63" t="s">
        <v>238</v>
      </c>
      <c r="C16" s="64" t="s">
        <v>239</v>
      </c>
      <c r="D16" s="71">
        <f>('Balance Sheet'!C20-'Balance Sheet'!C16)/'Balance Sheet'!C36</f>
        <v>0.94618949536560248</v>
      </c>
      <c r="E16" s="71">
        <f>('Balance Sheet'!D20-'Balance Sheet'!D16)/'Balance Sheet'!D36</f>
        <v>1.0266871346755624</v>
      </c>
      <c r="F16" s="71">
        <f>('Balance Sheet'!E20-'Balance Sheet'!E16)/'Balance Sheet'!E36</f>
        <v>1.1268962044438848</v>
      </c>
      <c r="G16" s="66" t="s">
        <v>165</v>
      </c>
      <c r="H16" s="67" t="s">
        <v>240</v>
      </c>
      <c r="I16" s="29" t="s">
        <v>463</v>
      </c>
    </row>
    <row r="17" spans="2:9" ht="17.25" customHeight="1" x14ac:dyDescent="0.2">
      <c r="B17" s="63" t="s">
        <v>241</v>
      </c>
      <c r="C17" s="64" t="s">
        <v>242</v>
      </c>
      <c r="D17" s="71">
        <f>'Balance Sheet'!C18/'Balance Sheet'!C36</f>
        <v>0.12785787847579816</v>
      </c>
      <c r="E17" s="71">
        <f>'Balance Sheet'!D18/'Balance Sheet'!D36</f>
        <v>8.5139044695046351E-2</v>
      </c>
      <c r="F17" s="71">
        <f>'Balance Sheet'!E18/'Balance Sheet'!E36</f>
        <v>0.16031975829294393</v>
      </c>
      <c r="G17" s="68" t="s">
        <v>168</v>
      </c>
      <c r="H17" s="67" t="s">
        <v>243</v>
      </c>
      <c r="I17" s="18" t="s">
        <v>244</v>
      </c>
    </row>
    <row r="18" spans="2:9" ht="17.25" customHeight="1" x14ac:dyDescent="0.2">
      <c r="B18" s="63"/>
      <c r="C18" s="64"/>
      <c r="D18" s="69"/>
      <c r="E18" s="69"/>
      <c r="F18" s="69"/>
      <c r="G18" s="70"/>
      <c r="H18" s="67"/>
      <c r="I18" s="18"/>
    </row>
    <row r="19" spans="2:9" ht="17.25" customHeight="1" x14ac:dyDescent="0.2">
      <c r="B19" s="14" t="s">
        <v>245</v>
      </c>
      <c r="C19" s="49"/>
      <c r="D19" s="49"/>
      <c r="E19" s="49"/>
      <c r="F19" s="49"/>
      <c r="G19" s="49"/>
      <c r="H19" s="49"/>
      <c r="I19" s="49"/>
    </row>
    <row r="20" spans="2:9" ht="17.25" customHeight="1" x14ac:dyDescent="0.2">
      <c r="B20" s="63" t="s">
        <v>246</v>
      </c>
      <c r="C20" s="64" t="s">
        <v>247</v>
      </c>
      <c r="D20" s="71">
        <f>('Balance Sheet'!C27+'Balance Sheet'!C34)/'Balance Sheet'!C46</f>
        <v>3.2006947734091269</v>
      </c>
      <c r="E20" s="71">
        <f>('Balance Sheet'!D27+'Balance Sheet'!D34)/'Balance Sheet'!D46</f>
        <v>2.5543525969275787</v>
      </c>
      <c r="F20" s="71">
        <f>('Balance Sheet'!E27+'Balance Sheet'!E34)/'Balance Sheet'!E46</f>
        <v>1.6651197927908483</v>
      </c>
      <c r="G20" s="68" t="s">
        <v>168</v>
      </c>
      <c r="H20" s="67" t="s">
        <v>248</v>
      </c>
      <c r="I20" s="29" t="s">
        <v>464</v>
      </c>
    </row>
    <row r="21" spans="2:9" ht="17.25" customHeight="1" x14ac:dyDescent="0.2">
      <c r="B21" s="63" t="s">
        <v>249</v>
      </c>
      <c r="C21" s="64" t="s">
        <v>250</v>
      </c>
      <c r="D21" s="65">
        <f>('Balance Sheet'!C27+'Balance Sheet'!C34)/'Balance Sheet'!C22</f>
        <v>0.36445691065681357</v>
      </c>
      <c r="E21" s="65">
        <f>('Balance Sheet'!D27+'Balance Sheet'!D34)/'Balance Sheet'!D22</f>
        <v>0.33283132530120479</v>
      </c>
      <c r="F21" s="65">
        <f>('Balance Sheet'!E27+'Balance Sheet'!E34)/'Balance Sheet'!E22</f>
        <v>0.29177382753403935</v>
      </c>
      <c r="G21" s="68" t="s">
        <v>168</v>
      </c>
      <c r="H21" s="67" t="s">
        <v>251</v>
      </c>
      <c r="I21" s="18" t="s">
        <v>252</v>
      </c>
    </row>
    <row r="22" spans="2:9" ht="17.25" customHeight="1" x14ac:dyDescent="0.2">
      <c r="B22" s="63" t="s">
        <v>253</v>
      </c>
      <c r="C22" s="64" t="s">
        <v>254</v>
      </c>
      <c r="D22" s="71">
        <f>'Income Statement'!C24/ABS('Income Statement'!C28)</f>
        <v>7.0038610038610036</v>
      </c>
      <c r="E22" s="71">
        <f>'Income Statement'!D24/ABS('Income Statement'!D28)</f>
        <v>9.8406113537117896</v>
      </c>
      <c r="F22" s="71">
        <f>'Income Statement'!E24/ABS('Income Statement'!E28)</f>
        <v>11.722311396468699</v>
      </c>
      <c r="G22" s="66" t="s">
        <v>165</v>
      </c>
      <c r="H22" s="67" t="s">
        <v>255</v>
      </c>
      <c r="I22" s="18" t="s">
        <v>256</v>
      </c>
    </row>
    <row r="23" spans="2:9" ht="17.25" customHeight="1" x14ac:dyDescent="0.2">
      <c r="B23" s="63" t="s">
        <v>257</v>
      </c>
      <c r="C23" s="64" t="s">
        <v>258</v>
      </c>
      <c r="D23" s="71">
        <f>(('Balance Sheet'!C22+'Balance Sheet'!D22)/2)/(('Balance Sheet'!C46+'Balance Sheet'!D46)/2)</f>
        <v>8.2072448359659784</v>
      </c>
      <c r="E23" s="71">
        <f>(('Balance Sheet'!D22+'Balance Sheet'!E22)/2)/(('Balance Sheet'!D46+'Balance Sheet'!E46)/2)</f>
        <v>6.5422023476802682</v>
      </c>
      <c r="F23" s="71">
        <f>'Balance Sheet'!E22/'Balance Sheet'!E46</f>
        <v>5.7068853874379455</v>
      </c>
      <c r="G23" s="68" t="s">
        <v>168</v>
      </c>
      <c r="H23" s="67" t="s">
        <v>259</v>
      </c>
      <c r="I23" s="29" t="s">
        <v>465</v>
      </c>
    </row>
    <row r="24" spans="2:9" ht="17.25" customHeight="1" x14ac:dyDescent="0.2">
      <c r="B24" s="63"/>
      <c r="C24" s="64"/>
      <c r="D24" s="69"/>
      <c r="E24" s="69"/>
      <c r="F24" s="69"/>
      <c r="G24" s="70"/>
      <c r="H24" s="67"/>
      <c r="I24" s="18"/>
    </row>
    <row r="25" spans="2:9" ht="17.25" customHeight="1" x14ac:dyDescent="0.2">
      <c r="B25" s="14" t="s">
        <v>260</v>
      </c>
      <c r="C25" s="49"/>
      <c r="D25" s="49"/>
      <c r="E25" s="49"/>
      <c r="F25" s="49"/>
      <c r="G25" s="49"/>
      <c r="H25" s="49"/>
      <c r="I25" s="49"/>
    </row>
    <row r="26" spans="2:9" ht="17.25" customHeight="1" x14ac:dyDescent="0.2">
      <c r="B26" s="63" t="s">
        <v>261</v>
      </c>
      <c r="C26" s="64" t="s">
        <v>262</v>
      </c>
      <c r="D26" s="71">
        <f>'Income Statement'!C10/(('Balance Sheet'!C22+'Balance Sheet'!D22)/2)</f>
        <v>1.3162584549332397</v>
      </c>
      <c r="E26" s="71">
        <f>'Income Statement'!D10/(('Balance Sheet'!D22+'Balance Sheet'!E22)/2)</f>
        <v>1.2834928229665072</v>
      </c>
      <c r="F26" s="71">
        <f>'Income Statement'!E10/'Balance Sheet'!E22</f>
        <v>1.2489599092284418</v>
      </c>
      <c r="G26" s="70" t="s">
        <v>158</v>
      </c>
      <c r="H26" s="67" t="s">
        <v>263</v>
      </c>
      <c r="I26" s="18" t="s">
        <v>264</v>
      </c>
    </row>
    <row r="27" spans="2:9" ht="17.25" customHeight="1" x14ac:dyDescent="0.2">
      <c r="B27" s="63" t="s">
        <v>265</v>
      </c>
      <c r="C27" s="64" t="s">
        <v>266</v>
      </c>
      <c r="D27" s="71">
        <f>'Income Statement'!C10/(('Balance Sheet'!C17+'Balance Sheet'!D17)/2)</f>
        <v>31.731429846085209</v>
      </c>
      <c r="E27" s="71">
        <f>'Income Statement'!D10/(('Balance Sheet'!D17+'Balance Sheet'!E17)/2)</f>
        <v>29.156351089066206</v>
      </c>
      <c r="F27" s="71">
        <f>'Income Statement'!E10/'Balance Sheet'!E17</f>
        <v>26.365269461077844</v>
      </c>
      <c r="G27" s="68" t="s">
        <v>168</v>
      </c>
      <c r="H27" s="67" t="s">
        <v>267</v>
      </c>
      <c r="I27" s="72" t="s">
        <v>466</v>
      </c>
    </row>
    <row r="28" spans="2:9" ht="17.25" customHeight="1" x14ac:dyDescent="0.2">
      <c r="B28" s="63" t="s">
        <v>268</v>
      </c>
      <c r="C28" s="64" t="s">
        <v>269</v>
      </c>
      <c r="D28" s="73">
        <f>365/D27</f>
        <v>11.502790821921661</v>
      </c>
      <c r="E28" s="73">
        <f>365/E27</f>
        <v>12.518713294575363</v>
      </c>
      <c r="F28" s="73">
        <f>365/F27</f>
        <v>13.843970020440608</v>
      </c>
      <c r="G28" s="66" t="s">
        <v>165</v>
      </c>
      <c r="H28" s="67" t="s">
        <v>270</v>
      </c>
      <c r="I28" s="72" t="s">
        <v>467</v>
      </c>
    </row>
    <row r="29" spans="2:9" ht="17.25" customHeight="1" x14ac:dyDescent="0.2">
      <c r="B29" s="63" t="s">
        <v>271</v>
      </c>
      <c r="C29" s="64" t="s">
        <v>272</v>
      </c>
      <c r="D29" s="71">
        <f>ABS('Income Statement'!C13)/(('Balance Sheet'!C16+'Balance Sheet'!D16)/2)</f>
        <v>18.454132606721164</v>
      </c>
      <c r="E29" s="71">
        <f>ABS('Income Statement'!D13)/(('Balance Sheet'!D16+'Balance Sheet'!E16)/2)</f>
        <v>18.058520900321543</v>
      </c>
      <c r="F29" s="71">
        <f>ABS('Income Statement'!E13)/'Balance Sheet'!E16</f>
        <v>17.679080310880828</v>
      </c>
      <c r="G29" s="68" t="s">
        <v>168</v>
      </c>
      <c r="H29" s="67" t="s">
        <v>267</v>
      </c>
      <c r="I29" s="72" t="s">
        <v>468</v>
      </c>
    </row>
    <row r="30" spans="2:9" ht="17.25" customHeight="1" x14ac:dyDescent="0.2">
      <c r="B30" s="63" t="s">
        <v>273</v>
      </c>
      <c r="C30" s="64" t="s">
        <v>274</v>
      </c>
      <c r="D30" s="73">
        <f>365/D29</f>
        <v>19.778767595235749</v>
      </c>
      <c r="E30" s="73">
        <f>365/E29</f>
        <v>20.212065097396817</v>
      </c>
      <c r="F30" s="73">
        <f>365/F29</f>
        <v>20.645870349678532</v>
      </c>
      <c r="G30" s="66" t="s">
        <v>165</v>
      </c>
      <c r="H30" s="67" t="s">
        <v>270</v>
      </c>
      <c r="I30" s="18" t="s">
        <v>275</v>
      </c>
    </row>
  </sheetData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showGridLines="0" zoomScale="118" zoomScaleNormal="125" workbookViewId="0">
      <selection activeCell="E24" sqref="E24"/>
    </sheetView>
  </sheetViews>
  <sheetFormatPr baseColWidth="10" defaultColWidth="8.6640625" defaultRowHeight="15" x14ac:dyDescent="0.2"/>
  <cols>
    <col min="2" max="2" width="25" style="1" customWidth="1"/>
    <col min="3" max="3" width="35" style="1" customWidth="1"/>
    <col min="4" max="6" width="14" style="1" customWidth="1"/>
    <col min="7" max="7" width="50" style="1" customWidth="1"/>
  </cols>
  <sheetData>
    <row r="2" spans="2:7" ht="21.75" customHeight="1" x14ac:dyDescent="0.25">
      <c r="B2" s="127" t="s">
        <v>276</v>
      </c>
      <c r="C2" s="127"/>
      <c r="D2" s="127"/>
      <c r="E2" s="127"/>
      <c r="F2" s="127"/>
      <c r="G2" s="127"/>
    </row>
    <row r="3" spans="2:7" ht="15" customHeight="1" x14ac:dyDescent="0.2">
      <c r="B3" s="125" t="s">
        <v>277</v>
      </c>
      <c r="C3" s="125"/>
      <c r="D3" s="125"/>
      <c r="E3" s="125"/>
      <c r="F3" s="125"/>
      <c r="G3" s="125"/>
    </row>
    <row r="5" spans="2:7" ht="15" customHeight="1" x14ac:dyDescent="0.2">
      <c r="B5" s="126" t="s">
        <v>278</v>
      </c>
      <c r="C5" s="126"/>
      <c r="D5" s="126"/>
      <c r="E5" s="126"/>
      <c r="F5" s="126"/>
      <c r="G5" s="126"/>
    </row>
    <row r="7" spans="2:7" ht="15" customHeight="1" x14ac:dyDescent="0.2">
      <c r="B7" s="10" t="s">
        <v>279</v>
      </c>
      <c r="C7" s="10" t="s">
        <v>134</v>
      </c>
      <c r="D7" s="10" t="s">
        <v>43</v>
      </c>
      <c r="E7" s="10" t="s">
        <v>44</v>
      </c>
      <c r="F7" s="10" t="s">
        <v>45</v>
      </c>
      <c r="G7" s="10" t="s">
        <v>135</v>
      </c>
    </row>
    <row r="8" spans="2:7" ht="15" customHeight="1" x14ac:dyDescent="0.2">
      <c r="B8" s="74" t="s">
        <v>221</v>
      </c>
      <c r="C8" s="75" t="s">
        <v>222</v>
      </c>
      <c r="D8" s="76">
        <f>'Income Statement'!C35/'Income Statement'!C10</f>
        <v>7.5021792312234631E-2</v>
      </c>
      <c r="E8" s="76">
        <f>'Income Statement'!D35/'Income Statement'!D10</f>
        <v>0.1023683782304472</v>
      </c>
      <c r="F8" s="76">
        <f>'Income Statement'!E35/'Income Statement'!E10</f>
        <v>8.6789310318722085E-2</v>
      </c>
      <c r="G8" s="77" t="s">
        <v>280</v>
      </c>
    </row>
    <row r="9" spans="2:7" ht="15" customHeight="1" x14ac:dyDescent="0.2">
      <c r="B9" s="74" t="s">
        <v>261</v>
      </c>
      <c r="C9" s="75" t="s">
        <v>262</v>
      </c>
      <c r="D9" s="76">
        <f>'Income Statement'!C10/(('Balance Sheet'!C22+'Balance Sheet'!D22)/2)</f>
        <v>1.3162584549332397</v>
      </c>
      <c r="E9" s="76">
        <f>'Income Statement'!D10/(('Balance Sheet'!D22+'Balance Sheet'!E22)/2)</f>
        <v>1.2834928229665072</v>
      </c>
      <c r="F9" s="76">
        <f>'Income Statement'!E10/'Balance Sheet'!E22</f>
        <v>1.2489599092284418</v>
      </c>
      <c r="G9" s="77" t="s">
        <v>281</v>
      </c>
    </row>
    <row r="10" spans="2:7" ht="15" customHeight="1" x14ac:dyDescent="0.2">
      <c r="B10" s="74" t="s">
        <v>257</v>
      </c>
      <c r="C10" s="75" t="s">
        <v>258</v>
      </c>
      <c r="D10" s="71">
        <f>(('Balance Sheet'!C22+'Balance Sheet'!D22)/2)/(('Balance Sheet'!C46+'Balance Sheet'!D46)/2)</f>
        <v>8.2072448359659784</v>
      </c>
      <c r="E10" s="71">
        <f>(('Balance Sheet'!D22+'Balance Sheet'!E22)/2)/(('Balance Sheet'!D46+'Balance Sheet'!E46)/2)</f>
        <v>6.5422023476802682</v>
      </c>
      <c r="F10" s="71">
        <f>'Balance Sheet'!E22/'Balance Sheet'!E46</f>
        <v>5.7068853874379455</v>
      </c>
      <c r="G10" s="78" t="s">
        <v>446</v>
      </c>
    </row>
    <row r="11" spans="2:7" ht="15" customHeight="1" x14ac:dyDescent="0.2">
      <c r="B11" s="74" t="s">
        <v>282</v>
      </c>
      <c r="C11" s="75" t="s">
        <v>283</v>
      </c>
      <c r="D11" s="65">
        <f>D8*D9*D10</f>
        <v>0.81044957472661006</v>
      </c>
      <c r="E11" s="65">
        <f>E8*E9*E10</f>
        <v>0.85957393950686312</v>
      </c>
      <c r="F11" s="65">
        <f>F8*F9*F10</f>
        <v>0.61860565508309961</v>
      </c>
      <c r="G11" s="77"/>
    </row>
    <row r="12" spans="2:7" ht="15" customHeight="1" x14ac:dyDescent="0.2">
      <c r="B12" s="74" t="s">
        <v>284</v>
      </c>
      <c r="C12" s="75" t="s">
        <v>226</v>
      </c>
      <c r="D12" s="65">
        <f>'Income Statement'!C35/(('Balance Sheet'!C46+'Balance Sheet'!D46)/2)</f>
        <v>0.81044957472660994</v>
      </c>
      <c r="E12" s="65">
        <f>'Income Statement'!D35/(('Balance Sheet'!D46+'Balance Sheet'!E46)/2)</f>
        <v>0.85957393950686289</v>
      </c>
      <c r="F12" s="65">
        <f>'Income Statement'!E35/'Balance Sheet'!E46</f>
        <v>0.6186056550830995</v>
      </c>
      <c r="G12" s="77"/>
    </row>
    <row r="15" spans="2:7" ht="15" customHeight="1" x14ac:dyDescent="0.2">
      <c r="B15" s="136" t="s">
        <v>285</v>
      </c>
      <c r="C15" s="136"/>
      <c r="D15" s="136"/>
      <c r="E15" s="136"/>
      <c r="F15" s="136"/>
      <c r="G15" s="136"/>
    </row>
    <row r="16" spans="2:7" ht="15" customHeight="1" x14ac:dyDescent="0.2">
      <c r="B16" s="137" t="s">
        <v>447</v>
      </c>
      <c r="C16" s="137"/>
      <c r="D16" s="137"/>
      <c r="E16" s="137"/>
      <c r="F16" s="137"/>
      <c r="G16" s="137"/>
    </row>
    <row r="17" spans="2:7" ht="15" customHeight="1" x14ac:dyDescent="0.2">
      <c r="B17" s="137"/>
      <c r="C17" s="137"/>
      <c r="D17" s="137"/>
      <c r="E17" s="137"/>
      <c r="F17" s="137"/>
      <c r="G17" s="137"/>
    </row>
    <row r="18" spans="2:7" ht="15" customHeight="1" x14ac:dyDescent="0.2">
      <c r="B18" s="137"/>
      <c r="C18" s="137"/>
      <c r="D18" s="137"/>
      <c r="E18" s="137"/>
      <c r="F18" s="137"/>
      <c r="G18" s="137"/>
    </row>
    <row r="19" spans="2:7" ht="15" customHeight="1" x14ac:dyDescent="0.2">
      <c r="B19" s="137"/>
      <c r="C19" s="137"/>
      <c r="D19" s="137"/>
      <c r="E19" s="137"/>
      <c r="F19" s="137"/>
      <c r="G19" s="137"/>
    </row>
    <row r="20" spans="2:7" ht="72" customHeight="1" x14ac:dyDescent="0.2">
      <c r="B20" s="137"/>
      <c r="C20" s="137"/>
      <c r="D20" s="137"/>
      <c r="E20" s="137"/>
      <c r="F20" s="137"/>
      <c r="G20" s="137"/>
    </row>
  </sheetData>
  <mergeCells count="5">
    <mergeCell ref="B2:G2"/>
    <mergeCell ref="B3:G3"/>
    <mergeCell ref="B5:G5"/>
    <mergeCell ref="B15:G15"/>
    <mergeCell ref="B16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9"/>
  <sheetViews>
    <sheetView showGridLines="0" zoomScale="112" zoomScaleNormal="116" workbookViewId="0">
      <selection activeCell="G20" sqref="G20"/>
    </sheetView>
  </sheetViews>
  <sheetFormatPr baseColWidth="10" defaultColWidth="8.6640625" defaultRowHeight="15" x14ac:dyDescent="0.2"/>
  <cols>
    <col min="2" max="2" width="30" style="1" customWidth="1"/>
    <col min="3" max="3" width="20" style="1" customWidth="1"/>
    <col min="4" max="6" width="15" style="1" customWidth="1"/>
    <col min="7" max="7" width="12" style="1" customWidth="1"/>
    <col min="8" max="8" width="45" style="1" customWidth="1"/>
  </cols>
  <sheetData>
    <row r="2" spans="2:8" ht="21.75" customHeight="1" x14ac:dyDescent="0.25">
      <c r="B2" s="127" t="s">
        <v>286</v>
      </c>
      <c r="C2" s="127"/>
      <c r="D2" s="127"/>
      <c r="E2" s="127"/>
      <c r="F2" s="127"/>
      <c r="G2" s="127"/>
      <c r="H2" s="127"/>
    </row>
    <row r="3" spans="2:8" ht="15" customHeight="1" x14ac:dyDescent="0.2">
      <c r="B3" s="125" t="s">
        <v>287</v>
      </c>
      <c r="C3" s="125"/>
      <c r="D3" s="125"/>
      <c r="E3" s="125"/>
      <c r="F3" s="125"/>
      <c r="G3" s="125"/>
      <c r="H3" s="125"/>
    </row>
    <row r="5" spans="2:8" ht="15" customHeight="1" x14ac:dyDescent="0.2">
      <c r="B5" s="10" t="s">
        <v>288</v>
      </c>
      <c r="C5" s="10" t="s">
        <v>133</v>
      </c>
      <c r="D5" s="10" t="s">
        <v>43</v>
      </c>
      <c r="E5" s="10" t="s">
        <v>44</v>
      </c>
      <c r="F5" s="10" t="s">
        <v>45</v>
      </c>
      <c r="G5" s="10" t="s">
        <v>289</v>
      </c>
      <c r="H5" s="10" t="s">
        <v>430</v>
      </c>
    </row>
    <row r="6" spans="2:8" ht="15" customHeight="1" x14ac:dyDescent="0.2">
      <c r="B6" s="79" t="s">
        <v>290</v>
      </c>
      <c r="C6" s="4" t="s">
        <v>291</v>
      </c>
      <c r="D6" s="80">
        <f>('Income Statement'!C10-'Income Statement'!D10)/'Income Statement'!D10</f>
        <v>5.2175328037397002E-2</v>
      </c>
      <c r="E6" s="80">
        <f>('Income Statement'!D10-'Income Statement'!E10)/'Income Statement'!E10</f>
        <v>2.3529411764705882E-2</v>
      </c>
      <c r="F6" s="20"/>
      <c r="H6" s="18"/>
    </row>
    <row r="7" spans="2:8" ht="15" customHeight="1" x14ac:dyDescent="0.2">
      <c r="C7" s="4" t="s">
        <v>292</v>
      </c>
      <c r="D7" s="80">
        <f>('Balance Sheet'!C17-'Balance Sheet'!D17)/'Balance Sheet'!D17</f>
        <v>0.10272045028142589</v>
      </c>
      <c r="E7" s="80">
        <f>('Balance Sheet'!D17-'Balance Sheet'!E17)/'Balance Sheet'!E17</f>
        <v>-0.14890219560878243</v>
      </c>
      <c r="F7" s="20"/>
      <c r="H7" s="18"/>
    </row>
    <row r="8" spans="2:8" ht="33" customHeight="1" x14ac:dyDescent="0.2">
      <c r="C8" s="4" t="s">
        <v>293</v>
      </c>
      <c r="D8" s="81"/>
      <c r="E8" s="81"/>
      <c r="F8" s="81"/>
      <c r="H8" s="72" t="s">
        <v>432</v>
      </c>
    </row>
    <row r="9" spans="2:8" ht="15" customHeight="1" x14ac:dyDescent="0.2">
      <c r="C9" s="4"/>
      <c r="D9" s="81"/>
      <c r="E9" s="81"/>
      <c r="F9" s="81"/>
      <c r="H9" s="18"/>
    </row>
    <row r="10" spans="2:8" ht="15" customHeight="1" x14ac:dyDescent="0.2">
      <c r="B10" s="79" t="s">
        <v>294</v>
      </c>
      <c r="C10" s="4" t="s">
        <v>295</v>
      </c>
      <c r="D10" s="80">
        <f>'Ratio Analysis'!D7-'Ratio Analysis'!F7</f>
        <v>-3.0620175528794424E-2</v>
      </c>
      <c r="E10" s="20"/>
      <c r="F10" s="20"/>
      <c r="H10" s="18"/>
    </row>
    <row r="11" spans="2:8" ht="33" customHeight="1" x14ac:dyDescent="0.2">
      <c r="C11" s="4" t="s">
        <v>293</v>
      </c>
      <c r="D11" s="81"/>
      <c r="E11" s="81"/>
      <c r="F11" s="81"/>
      <c r="H11" s="29" t="s">
        <v>431</v>
      </c>
    </row>
    <row r="12" spans="2:8" ht="15" customHeight="1" x14ac:dyDescent="0.2">
      <c r="C12" s="4"/>
      <c r="D12" s="81"/>
      <c r="E12" s="81"/>
      <c r="F12" s="81"/>
      <c r="H12" s="18"/>
    </row>
    <row r="13" spans="2:8" ht="15" customHeight="1" x14ac:dyDescent="0.2">
      <c r="B13" s="79" t="s">
        <v>296</v>
      </c>
      <c r="C13" s="4" t="s">
        <v>297</v>
      </c>
      <c r="D13" s="82">
        <f>'Income Statement'!C21</f>
        <v>326</v>
      </c>
      <c r="E13" s="82">
        <f>'Income Statement'!D21</f>
        <v>535</v>
      </c>
      <c r="F13" s="82">
        <f>'Income Statement'!E21</f>
        <v>-984</v>
      </c>
      <c r="H13" s="18"/>
    </row>
    <row r="14" spans="2:8" ht="33" customHeight="1" x14ac:dyDescent="0.2">
      <c r="C14" s="4" t="s">
        <v>293</v>
      </c>
      <c r="D14" s="81"/>
      <c r="E14" s="81"/>
      <c r="F14" s="81"/>
      <c r="H14" s="72" t="s">
        <v>433</v>
      </c>
    </row>
    <row r="15" spans="2:8" ht="15" customHeight="1" x14ac:dyDescent="0.2">
      <c r="C15" s="4"/>
      <c r="D15" s="81"/>
      <c r="E15" s="81"/>
      <c r="F15" s="81"/>
      <c r="H15" s="18"/>
    </row>
    <row r="16" spans="2:8" ht="15" customHeight="1" x14ac:dyDescent="0.2">
      <c r="B16" s="79" t="s">
        <v>298</v>
      </c>
      <c r="C16" s="4" t="s">
        <v>299</v>
      </c>
      <c r="D16" s="80">
        <f>('Income Statement'!C28-'Income Statement'!D28)/ABS('Income Statement'!D28)</f>
        <v>-0.13100436681222707</v>
      </c>
      <c r="E16" s="80">
        <f>('Income Statement'!D28-'Income Statement'!E28)/ABS('Income Statement'!E28)</f>
        <v>-0.47030497592295345</v>
      </c>
      <c r="F16" s="20"/>
      <c r="H16" s="18"/>
    </row>
    <row r="17" spans="2:8" ht="33" customHeight="1" x14ac:dyDescent="0.2">
      <c r="C17" s="4" t="s">
        <v>293</v>
      </c>
      <c r="D17" s="81"/>
      <c r="E17" s="81"/>
      <c r="F17" s="81"/>
      <c r="H17" s="29" t="s">
        <v>434</v>
      </c>
    </row>
    <row r="18" spans="2:8" ht="15" customHeight="1" x14ac:dyDescent="0.2">
      <c r="C18" s="4"/>
      <c r="D18" s="81"/>
      <c r="E18" s="81"/>
      <c r="F18" s="81"/>
      <c r="H18" s="18"/>
    </row>
    <row r="19" spans="2:8" ht="15" customHeight="1" x14ac:dyDescent="0.2">
      <c r="B19" s="79" t="s">
        <v>300</v>
      </c>
      <c r="C19" s="4" t="s">
        <v>65</v>
      </c>
      <c r="D19" s="82">
        <f>'Income Statement'!C35</f>
        <v>5336</v>
      </c>
      <c r="E19" s="82">
        <f>'Income Statement'!D35</f>
        <v>6920</v>
      </c>
      <c r="F19" s="82">
        <f>'Income Statement'!E35</f>
        <v>5732</v>
      </c>
      <c r="H19" s="18"/>
    </row>
    <row r="20" spans="2:8" ht="15" customHeight="1" x14ac:dyDescent="0.2">
      <c r="C20" s="4" t="s">
        <v>301</v>
      </c>
      <c r="D20" s="30">
        <v>6972</v>
      </c>
      <c r="E20" s="30">
        <v>7920</v>
      </c>
      <c r="F20" s="30">
        <v>7802</v>
      </c>
      <c r="H20" s="18"/>
    </row>
    <row r="21" spans="2:8" ht="15" customHeight="1" x14ac:dyDescent="0.2">
      <c r="C21" s="4" t="s">
        <v>302</v>
      </c>
      <c r="D21" s="83">
        <f>IFERROR(D20/D19,"-")</f>
        <v>1.3065967016491755</v>
      </c>
      <c r="E21" s="83">
        <f>IFERROR(E20/E19,"-")</f>
        <v>1.1445086705202312</v>
      </c>
      <c r="F21" s="83">
        <f>IFERROR(F20/F19,"-")</f>
        <v>1.3611304954640615</v>
      </c>
      <c r="H21" s="18"/>
    </row>
    <row r="22" spans="2:8" ht="33" customHeight="1" x14ac:dyDescent="0.2">
      <c r="C22" s="4" t="s">
        <v>293</v>
      </c>
      <c r="D22" s="81"/>
      <c r="E22" s="81"/>
      <c r="F22" s="81"/>
      <c r="H22" s="72" t="s">
        <v>469</v>
      </c>
    </row>
    <row r="25" spans="2:8" ht="15" customHeight="1" x14ac:dyDescent="0.2">
      <c r="B25" s="138" t="s">
        <v>303</v>
      </c>
      <c r="C25" s="138"/>
      <c r="D25" s="138"/>
      <c r="E25" s="138"/>
      <c r="F25" s="138"/>
      <c r="G25" s="138"/>
      <c r="H25" s="138"/>
    </row>
    <row r="26" spans="2:8" ht="15" customHeight="1" x14ac:dyDescent="0.2">
      <c r="B26" s="139" t="s">
        <v>304</v>
      </c>
      <c r="C26" s="139"/>
      <c r="D26" s="139"/>
      <c r="E26" s="139"/>
      <c r="F26" s="139"/>
      <c r="G26" s="139"/>
      <c r="H26" s="139"/>
    </row>
    <row r="27" spans="2:8" ht="15" customHeight="1" x14ac:dyDescent="0.2">
      <c r="B27" s="139"/>
      <c r="C27" s="139"/>
      <c r="D27" s="139"/>
      <c r="E27" s="139"/>
      <c r="F27" s="139"/>
      <c r="G27" s="139"/>
      <c r="H27" s="139"/>
    </row>
    <row r="28" spans="2:8" ht="15" customHeight="1" x14ac:dyDescent="0.2">
      <c r="B28" s="139"/>
      <c r="C28" s="139"/>
      <c r="D28" s="139"/>
      <c r="E28" s="139"/>
      <c r="F28" s="139"/>
      <c r="G28" s="139"/>
      <c r="H28" s="139"/>
    </row>
    <row r="29" spans="2:8" ht="15" customHeight="1" x14ac:dyDescent="0.2">
      <c r="B29" s="139"/>
      <c r="C29" s="139"/>
      <c r="D29" s="139"/>
      <c r="E29" s="139"/>
      <c r="F29" s="139"/>
      <c r="G29" s="139"/>
      <c r="H29" s="139"/>
    </row>
  </sheetData>
  <mergeCells count="4">
    <mergeCell ref="B2:H2"/>
    <mergeCell ref="B3:H3"/>
    <mergeCell ref="B25:H25"/>
    <mergeCell ref="B26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23"/>
  <sheetViews>
    <sheetView showGridLines="0" tabSelected="1" zoomScale="137" zoomScaleNormal="137" workbookViewId="0">
      <selection activeCell="D17" sqref="D17"/>
    </sheetView>
  </sheetViews>
  <sheetFormatPr baseColWidth="10" defaultColWidth="8.6640625" defaultRowHeight="15" x14ac:dyDescent="0.2"/>
  <cols>
    <col min="2" max="2" width="22" style="1" customWidth="1"/>
    <col min="3" max="6" width="12" style="1" customWidth="1"/>
    <col min="7" max="7" width="14" style="1" customWidth="1"/>
    <col min="8" max="8" width="12" style="1" customWidth="1"/>
    <col min="9" max="9" width="40" style="1" customWidth="1"/>
  </cols>
  <sheetData>
    <row r="2" spans="2:9" ht="21.75" customHeight="1" x14ac:dyDescent="0.25">
      <c r="B2" s="127" t="s">
        <v>305</v>
      </c>
      <c r="C2" s="127"/>
      <c r="D2" s="127"/>
      <c r="E2" s="127"/>
      <c r="F2" s="127"/>
      <c r="G2" s="127"/>
      <c r="H2" s="127"/>
      <c r="I2" s="127"/>
    </row>
    <row r="3" spans="2:9" ht="15" customHeight="1" x14ac:dyDescent="0.2">
      <c r="B3" s="125" t="s">
        <v>306</v>
      </c>
      <c r="C3" s="125"/>
      <c r="D3" s="125"/>
      <c r="E3" s="125"/>
      <c r="F3" s="125"/>
      <c r="G3" s="125"/>
      <c r="H3" s="125"/>
      <c r="I3" s="125"/>
    </row>
    <row r="5" spans="2:9" ht="15" customHeight="1" x14ac:dyDescent="0.2">
      <c r="B5" s="10" t="s">
        <v>133</v>
      </c>
      <c r="C5" s="10" t="s">
        <v>307</v>
      </c>
      <c r="D5" s="10" t="s">
        <v>308</v>
      </c>
      <c r="E5" s="10" t="s">
        <v>309</v>
      </c>
      <c r="F5" s="10" t="s">
        <v>310</v>
      </c>
      <c r="G5" s="10" t="s">
        <v>311</v>
      </c>
      <c r="H5" s="10" t="s">
        <v>312</v>
      </c>
      <c r="I5" s="10" t="s">
        <v>293</v>
      </c>
    </row>
    <row r="6" spans="2:9" ht="15" customHeight="1" x14ac:dyDescent="0.2">
      <c r="B6" s="74" t="s">
        <v>313</v>
      </c>
      <c r="C6" s="84">
        <v>71.099999999999994</v>
      </c>
      <c r="D6" s="85">
        <v>80.7</v>
      </c>
      <c r="E6" s="85">
        <v>41</v>
      </c>
      <c r="F6" s="85">
        <v>47.7</v>
      </c>
      <c r="G6" s="86">
        <f t="shared" ref="G6:G15" si="0">AVERAGE(C6:F6)</f>
        <v>60.125</v>
      </c>
      <c r="H6" s="87" t="s">
        <v>318</v>
      </c>
      <c r="I6" s="88" t="s">
        <v>440</v>
      </c>
    </row>
    <row r="7" spans="2:9" ht="15" customHeight="1" x14ac:dyDescent="0.2">
      <c r="B7" s="74" t="s">
        <v>291</v>
      </c>
      <c r="C7" s="89">
        <v>5.1999999999999998E-2</v>
      </c>
      <c r="D7" s="90">
        <v>0.17199999999999999</v>
      </c>
      <c r="E7" s="90">
        <v>4.3999999999999997E-2</v>
      </c>
      <c r="F7" s="90">
        <v>0.129</v>
      </c>
      <c r="G7" s="91">
        <f t="shared" si="0"/>
        <v>9.9249999999999991E-2</v>
      </c>
      <c r="H7" s="92" t="s">
        <v>315</v>
      </c>
      <c r="I7" s="78" t="s">
        <v>441</v>
      </c>
    </row>
    <row r="8" spans="2:9" ht="15" customHeight="1" x14ac:dyDescent="0.2">
      <c r="B8" s="74" t="s">
        <v>51</v>
      </c>
      <c r="C8" s="89">
        <v>0.14199999999999999</v>
      </c>
      <c r="D8" s="90">
        <v>0.191</v>
      </c>
      <c r="E8" s="90">
        <v>0.18</v>
      </c>
      <c r="F8" s="90">
        <v>0.1</v>
      </c>
      <c r="G8" s="91">
        <f t="shared" si="0"/>
        <v>0.15324999999999997</v>
      </c>
      <c r="H8" s="92" t="s">
        <v>316</v>
      </c>
      <c r="I8" s="78" t="s">
        <v>442</v>
      </c>
    </row>
    <row r="9" spans="2:9" ht="15" customHeight="1" x14ac:dyDescent="0.2">
      <c r="B9" s="74" t="s">
        <v>317</v>
      </c>
      <c r="C9" s="89">
        <v>0.10199999999999999</v>
      </c>
      <c r="D9" s="90">
        <v>8.1000000000000003E-2</v>
      </c>
      <c r="E9" s="90">
        <v>0.107</v>
      </c>
      <c r="F9" s="90">
        <v>9.7000000000000003E-2</v>
      </c>
      <c r="G9" s="91">
        <f t="shared" si="0"/>
        <v>9.6750000000000003E-2</v>
      </c>
      <c r="H9" s="87" t="s">
        <v>318</v>
      </c>
      <c r="I9" s="77" t="s">
        <v>319</v>
      </c>
    </row>
    <row r="10" spans="2:9" ht="15" customHeight="1" x14ac:dyDescent="0.2">
      <c r="B10" s="74" t="s">
        <v>53</v>
      </c>
      <c r="C10" s="89">
        <v>7.4999999999999997E-2</v>
      </c>
      <c r="D10" s="90">
        <v>5.8999999999999997E-2</v>
      </c>
      <c r="E10" s="90">
        <v>0.1</v>
      </c>
      <c r="F10" s="90">
        <v>7.9000000000000001E-2</v>
      </c>
      <c r="G10" s="91">
        <f t="shared" si="0"/>
        <v>7.825E-2</v>
      </c>
      <c r="H10" s="92" t="s">
        <v>316</v>
      </c>
      <c r="I10" s="77" t="s">
        <v>320</v>
      </c>
    </row>
    <row r="11" spans="2:9" ht="15" customHeight="1" x14ac:dyDescent="0.2">
      <c r="B11" s="74" t="s">
        <v>321</v>
      </c>
      <c r="C11" s="89">
        <v>0.81</v>
      </c>
      <c r="D11" s="90">
        <v>0.08</v>
      </c>
      <c r="E11" s="90">
        <v>0.27300000000000002</v>
      </c>
      <c r="F11" s="90">
        <v>0.25</v>
      </c>
      <c r="G11" s="91">
        <f t="shared" si="0"/>
        <v>0.35325000000000001</v>
      </c>
      <c r="H11" s="87" t="s">
        <v>314</v>
      </c>
      <c r="I11" s="78" t="s">
        <v>443</v>
      </c>
    </row>
    <row r="12" spans="2:9" ht="15" customHeight="1" x14ac:dyDescent="0.2">
      <c r="B12" s="74" t="s">
        <v>322</v>
      </c>
      <c r="C12" s="89">
        <v>9.6000000000000002E-2</v>
      </c>
      <c r="D12" s="90">
        <v>0.03</v>
      </c>
      <c r="E12" s="90">
        <v>8.5000000000000006E-2</v>
      </c>
      <c r="F12" s="90">
        <v>0.08</v>
      </c>
      <c r="G12" s="91">
        <f t="shared" si="0"/>
        <v>7.2750000000000009E-2</v>
      </c>
      <c r="H12" s="87" t="s">
        <v>314</v>
      </c>
      <c r="I12" s="88" t="s">
        <v>444</v>
      </c>
    </row>
    <row r="13" spans="2:9" ht="15" customHeight="1" x14ac:dyDescent="0.2">
      <c r="B13" s="74" t="s">
        <v>323</v>
      </c>
      <c r="C13" s="93">
        <v>3.2</v>
      </c>
      <c r="D13" s="94">
        <v>0.7</v>
      </c>
      <c r="E13" s="94">
        <v>1.1000000000000001</v>
      </c>
      <c r="F13" s="94">
        <v>0.8</v>
      </c>
      <c r="G13" s="95">
        <f t="shared" si="0"/>
        <v>1.45</v>
      </c>
      <c r="H13" s="92" t="s">
        <v>315</v>
      </c>
      <c r="I13" s="78" t="s">
        <v>445</v>
      </c>
    </row>
    <row r="14" spans="2:9" ht="15" customHeight="1" x14ac:dyDescent="0.2">
      <c r="B14" s="74" t="s">
        <v>235</v>
      </c>
      <c r="C14" s="93">
        <v>1.1299999999999999</v>
      </c>
      <c r="D14" s="94">
        <v>1.05</v>
      </c>
      <c r="E14" s="94">
        <v>1.2</v>
      </c>
      <c r="F14" s="94">
        <v>1.1499999999999999</v>
      </c>
      <c r="G14" s="95">
        <f t="shared" si="0"/>
        <v>1.1324999999999998</v>
      </c>
      <c r="H14" s="92" t="s">
        <v>316</v>
      </c>
      <c r="I14" s="77" t="s">
        <v>324</v>
      </c>
    </row>
    <row r="15" spans="2:9" ht="15" customHeight="1" x14ac:dyDescent="0.2">
      <c r="B15" s="74" t="s">
        <v>253</v>
      </c>
      <c r="C15" s="93">
        <v>7</v>
      </c>
      <c r="D15" s="94">
        <v>4.2</v>
      </c>
      <c r="E15" s="94">
        <v>8.5</v>
      </c>
      <c r="F15" s="94">
        <v>12</v>
      </c>
      <c r="G15" s="95">
        <f t="shared" si="0"/>
        <v>7.9249999999999998</v>
      </c>
      <c r="H15" s="92" t="s">
        <v>316</v>
      </c>
      <c r="I15" s="77" t="s">
        <v>325</v>
      </c>
    </row>
    <row r="18" spans="2:9" ht="15" customHeight="1" x14ac:dyDescent="0.2">
      <c r="B18" s="126" t="s">
        <v>326</v>
      </c>
      <c r="C18" s="126"/>
      <c r="D18" s="126"/>
      <c r="E18" s="126"/>
      <c r="F18" s="126"/>
      <c r="G18" s="126"/>
      <c r="H18" s="126"/>
      <c r="I18" s="126"/>
    </row>
    <row r="20" spans="2:9" ht="15" customHeight="1" x14ac:dyDescent="0.2">
      <c r="B20" s="96" t="s">
        <v>327</v>
      </c>
      <c r="C20" s="140" t="s">
        <v>328</v>
      </c>
      <c r="D20" s="140"/>
      <c r="E20" s="140"/>
      <c r="F20" s="97" t="s">
        <v>329</v>
      </c>
      <c r="G20" s="140" t="s">
        <v>330</v>
      </c>
      <c r="H20" s="140"/>
      <c r="I20" s="140"/>
    </row>
    <row r="21" spans="2:9" ht="15" customHeight="1" x14ac:dyDescent="0.2">
      <c r="C21" s="140"/>
      <c r="D21" s="140"/>
      <c r="E21" s="140"/>
      <c r="G21" s="140"/>
      <c r="H21" s="140"/>
      <c r="I21" s="140"/>
    </row>
    <row r="22" spans="2:9" ht="15" customHeight="1" x14ac:dyDescent="0.2">
      <c r="C22" s="140"/>
      <c r="D22" s="140"/>
      <c r="E22" s="140"/>
      <c r="G22" s="140"/>
      <c r="H22" s="140"/>
      <c r="I22" s="140"/>
    </row>
    <row r="23" spans="2:9" ht="15" customHeight="1" x14ac:dyDescent="0.2">
      <c r="C23" s="140"/>
      <c r="D23" s="140"/>
      <c r="E23" s="140"/>
      <c r="G23" s="140"/>
      <c r="H23" s="140"/>
      <c r="I23" s="140"/>
    </row>
  </sheetData>
  <mergeCells count="5">
    <mergeCell ref="B2:I2"/>
    <mergeCell ref="B3:I3"/>
    <mergeCell ref="B18:I18"/>
    <mergeCell ref="C20:E23"/>
    <mergeCell ref="G20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45"/>
  <sheetViews>
    <sheetView zoomScale="103" zoomScaleNormal="100" workbookViewId="0">
      <selection activeCell="F7" sqref="F7"/>
    </sheetView>
  </sheetViews>
  <sheetFormatPr baseColWidth="10" defaultColWidth="8.6640625" defaultRowHeight="15" x14ac:dyDescent="0.2"/>
  <cols>
    <col min="1" max="1" width="2" customWidth="1"/>
    <col min="2" max="2" width="50.5" customWidth="1"/>
    <col min="3" max="3" width="32" customWidth="1"/>
    <col min="4" max="4" width="36.83203125" customWidth="1"/>
    <col min="5" max="5" width="42" customWidth="1"/>
  </cols>
  <sheetData>
    <row r="2" spans="2:5" ht="20" x14ac:dyDescent="0.2">
      <c r="B2" s="42" t="s">
        <v>331</v>
      </c>
    </row>
    <row r="3" spans="2:5" x14ac:dyDescent="0.2">
      <c r="B3" s="98" t="s">
        <v>332</v>
      </c>
    </row>
    <row r="5" spans="2:5" x14ac:dyDescent="0.2">
      <c r="B5" s="48" t="s">
        <v>333</v>
      </c>
      <c r="C5" s="99"/>
      <c r="D5" s="99"/>
      <c r="E5" s="99"/>
    </row>
    <row r="6" spans="2:5" x14ac:dyDescent="0.2">
      <c r="B6" s="12" t="s">
        <v>334</v>
      </c>
      <c r="C6" s="12" t="s">
        <v>335</v>
      </c>
      <c r="D6" s="12" t="s">
        <v>336</v>
      </c>
      <c r="E6" s="12" t="s">
        <v>337</v>
      </c>
    </row>
    <row r="7" spans="2:5" ht="39" x14ac:dyDescent="0.2">
      <c r="B7" s="43" t="s">
        <v>338</v>
      </c>
      <c r="C7" s="58" t="s">
        <v>339</v>
      </c>
      <c r="D7" s="58" t="s">
        <v>340</v>
      </c>
      <c r="E7" s="58" t="s">
        <v>341</v>
      </c>
    </row>
    <row r="8" spans="2:5" ht="26" x14ac:dyDescent="0.2">
      <c r="B8" s="43" t="s">
        <v>68</v>
      </c>
      <c r="C8" s="58" t="s">
        <v>342</v>
      </c>
      <c r="D8" s="58" t="s">
        <v>343</v>
      </c>
      <c r="E8" s="46" t="s">
        <v>470</v>
      </c>
    </row>
    <row r="9" spans="2:5" ht="26" x14ac:dyDescent="0.2">
      <c r="B9" s="43" t="s">
        <v>344</v>
      </c>
      <c r="C9" s="58" t="s">
        <v>345</v>
      </c>
      <c r="D9" s="58" t="s">
        <v>346</v>
      </c>
      <c r="E9" s="46" t="s">
        <v>475</v>
      </c>
    </row>
    <row r="10" spans="2:5" ht="26" x14ac:dyDescent="0.2">
      <c r="B10" s="43" t="s">
        <v>347</v>
      </c>
      <c r="C10" s="58" t="s">
        <v>348</v>
      </c>
      <c r="D10" s="58" t="s">
        <v>349</v>
      </c>
      <c r="E10" s="58" t="s">
        <v>350</v>
      </c>
    </row>
    <row r="11" spans="2:5" ht="26" x14ac:dyDescent="0.2">
      <c r="B11" s="43" t="s">
        <v>351</v>
      </c>
      <c r="C11" s="58" t="s">
        <v>352</v>
      </c>
      <c r="D11" s="58" t="s">
        <v>353</v>
      </c>
      <c r="E11" s="58" t="s">
        <v>354</v>
      </c>
    </row>
    <row r="12" spans="2:5" ht="26" x14ac:dyDescent="0.2">
      <c r="B12" s="43" t="s">
        <v>355</v>
      </c>
      <c r="C12" s="58" t="s">
        <v>356</v>
      </c>
      <c r="D12" s="58" t="s">
        <v>357</v>
      </c>
      <c r="E12" s="46" t="s">
        <v>474</v>
      </c>
    </row>
    <row r="13" spans="2:5" ht="26" x14ac:dyDescent="0.2">
      <c r="B13" s="43" t="s">
        <v>358</v>
      </c>
      <c r="C13" s="58" t="s">
        <v>359</v>
      </c>
      <c r="D13" s="58" t="s">
        <v>360</v>
      </c>
      <c r="E13" s="58" t="s">
        <v>361</v>
      </c>
    </row>
    <row r="14" spans="2:5" ht="26" x14ac:dyDescent="0.2">
      <c r="B14" s="43" t="s">
        <v>362</v>
      </c>
      <c r="C14" s="58" t="s">
        <v>363</v>
      </c>
      <c r="D14" s="58" t="s">
        <v>364</v>
      </c>
      <c r="E14" s="46" t="s">
        <v>473</v>
      </c>
    </row>
    <row r="17" spans="2:5" x14ac:dyDescent="0.2">
      <c r="B17" s="48" t="s">
        <v>365</v>
      </c>
      <c r="C17" s="99"/>
      <c r="D17" s="99"/>
      <c r="E17" s="99"/>
    </row>
    <row r="18" spans="2:5" x14ac:dyDescent="0.2">
      <c r="B18" s="12" t="s">
        <v>133</v>
      </c>
      <c r="C18" s="12" t="s">
        <v>366</v>
      </c>
      <c r="D18" s="12" t="s">
        <v>367</v>
      </c>
      <c r="E18" s="12" t="s">
        <v>368</v>
      </c>
    </row>
    <row r="19" spans="2:5" x14ac:dyDescent="0.2">
      <c r="B19" s="43" t="s">
        <v>64</v>
      </c>
      <c r="C19" s="100" t="s">
        <v>369</v>
      </c>
      <c r="D19" s="100" t="s">
        <v>370</v>
      </c>
      <c r="E19" s="58" t="s">
        <v>371</v>
      </c>
    </row>
    <row r="20" spans="2:5" x14ac:dyDescent="0.2">
      <c r="B20" s="43" t="s">
        <v>51</v>
      </c>
      <c r="C20" s="100" t="s">
        <v>372</v>
      </c>
      <c r="D20" s="100" t="s">
        <v>373</v>
      </c>
      <c r="E20" s="46" t="s">
        <v>471</v>
      </c>
    </row>
    <row r="21" spans="2:5" x14ac:dyDescent="0.2">
      <c r="B21" s="43" t="s">
        <v>53</v>
      </c>
      <c r="C21" s="100" t="s">
        <v>374</v>
      </c>
      <c r="D21" s="100" t="s">
        <v>375</v>
      </c>
      <c r="E21" s="58" t="s">
        <v>376</v>
      </c>
    </row>
    <row r="22" spans="2:5" x14ac:dyDescent="0.2">
      <c r="B22" s="43" t="s">
        <v>377</v>
      </c>
      <c r="C22" s="100" t="s">
        <v>378</v>
      </c>
      <c r="D22" s="100" t="s">
        <v>379</v>
      </c>
      <c r="E22" s="46" t="s">
        <v>472</v>
      </c>
    </row>
    <row r="23" spans="2:5" x14ac:dyDescent="0.2">
      <c r="B23" s="43" t="s">
        <v>380</v>
      </c>
      <c r="C23" s="100" t="s">
        <v>381</v>
      </c>
      <c r="D23" s="100" t="s">
        <v>382</v>
      </c>
      <c r="E23" s="58" t="s">
        <v>383</v>
      </c>
    </row>
    <row r="24" spans="2:5" x14ac:dyDescent="0.2">
      <c r="B24" s="43" t="s">
        <v>291</v>
      </c>
      <c r="C24" s="100" t="s">
        <v>384</v>
      </c>
      <c r="D24" s="100" t="s">
        <v>385</v>
      </c>
      <c r="E24" s="58" t="s">
        <v>386</v>
      </c>
    </row>
    <row r="25" spans="2:5" x14ac:dyDescent="0.2">
      <c r="B25" s="43" t="s">
        <v>387</v>
      </c>
      <c r="C25" s="100" t="s">
        <v>388</v>
      </c>
      <c r="D25" s="100" t="s">
        <v>389</v>
      </c>
      <c r="E25" s="58" t="s">
        <v>390</v>
      </c>
    </row>
    <row r="26" spans="2:5" x14ac:dyDescent="0.2">
      <c r="B26" s="43" t="s">
        <v>391</v>
      </c>
      <c r="C26" s="100" t="s">
        <v>392</v>
      </c>
      <c r="D26" s="100" t="s">
        <v>393</v>
      </c>
      <c r="E26" s="58" t="s">
        <v>394</v>
      </c>
    </row>
    <row r="29" spans="2:5" ht="30" x14ac:dyDescent="0.2">
      <c r="B29" s="112" t="s">
        <v>429</v>
      </c>
      <c r="C29" s="99"/>
      <c r="D29" s="99"/>
      <c r="E29" s="99"/>
    </row>
    <row r="30" spans="2:5" x14ac:dyDescent="0.2">
      <c r="B30" s="12" t="s">
        <v>395</v>
      </c>
      <c r="C30" s="12" t="s">
        <v>396</v>
      </c>
      <c r="D30" s="12" t="s">
        <v>397</v>
      </c>
      <c r="E30" s="12" t="s">
        <v>398</v>
      </c>
    </row>
    <row r="31" spans="2:5" ht="26" x14ac:dyDescent="0.2">
      <c r="B31" s="43" t="s">
        <v>399</v>
      </c>
      <c r="C31" s="58" t="s">
        <v>400</v>
      </c>
      <c r="D31" s="58" t="s">
        <v>401</v>
      </c>
      <c r="E31" s="46" t="s">
        <v>402</v>
      </c>
    </row>
    <row r="32" spans="2:5" ht="26" x14ac:dyDescent="0.2">
      <c r="B32" s="43" t="s">
        <v>403</v>
      </c>
      <c r="C32" s="58" t="s">
        <v>404</v>
      </c>
      <c r="D32" s="58" t="s">
        <v>405</v>
      </c>
      <c r="E32" s="46" t="s">
        <v>406</v>
      </c>
    </row>
    <row r="33" spans="2:5" ht="26" x14ac:dyDescent="0.2">
      <c r="B33" s="43" t="s">
        <v>407</v>
      </c>
      <c r="C33" s="58" t="s">
        <v>408</v>
      </c>
      <c r="D33" s="58" t="s">
        <v>409</v>
      </c>
      <c r="E33" s="46" t="s">
        <v>410</v>
      </c>
    </row>
    <row r="34" spans="2:5" x14ac:dyDescent="0.2">
      <c r="B34" s="43" t="s">
        <v>411</v>
      </c>
      <c r="C34" s="58" t="s">
        <v>412</v>
      </c>
      <c r="D34" s="58" t="s">
        <v>413</v>
      </c>
      <c r="E34" s="46" t="s">
        <v>414</v>
      </c>
    </row>
    <row r="35" spans="2:5" ht="26" x14ac:dyDescent="0.2">
      <c r="B35" s="43" t="s">
        <v>415</v>
      </c>
      <c r="C35" s="58" t="s">
        <v>416</v>
      </c>
      <c r="D35" s="58" t="s">
        <v>417</v>
      </c>
      <c r="E35" s="46" t="s">
        <v>418</v>
      </c>
    </row>
    <row r="38" spans="2:5" x14ac:dyDescent="0.2">
      <c r="B38" s="101" t="s">
        <v>419</v>
      </c>
      <c r="C38" s="102"/>
      <c r="D38" s="102"/>
      <c r="E38" s="102"/>
    </row>
    <row r="39" spans="2:5" x14ac:dyDescent="0.2">
      <c r="B39" s="103" t="s">
        <v>420</v>
      </c>
    </row>
    <row r="40" spans="2:5" ht="28" x14ac:dyDescent="0.2">
      <c r="B40" s="104" t="s">
        <v>421</v>
      </c>
    </row>
    <row r="41" spans="2:5" ht="28" x14ac:dyDescent="0.2">
      <c r="B41" s="104" t="s">
        <v>422</v>
      </c>
    </row>
    <row r="42" spans="2:5" ht="28" x14ac:dyDescent="0.2">
      <c r="B42" s="104" t="s">
        <v>423</v>
      </c>
    </row>
    <row r="43" spans="2:5" ht="28" x14ac:dyDescent="0.2">
      <c r="B43" s="104" t="s">
        <v>424</v>
      </c>
    </row>
    <row r="44" spans="2:5" ht="28" x14ac:dyDescent="0.2">
      <c r="B44" s="104" t="s">
        <v>425</v>
      </c>
    </row>
    <row r="45" spans="2:5" ht="42" x14ac:dyDescent="0.2">
      <c r="B45" s="105" t="s">
        <v>426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Efficiency &amp; Cash Flow</vt:lpstr>
      <vt:lpstr>Ratio Analysis</vt:lpstr>
      <vt:lpstr>DuPont Analysis</vt:lpstr>
      <vt:lpstr>Red Flags Analysis</vt:lpstr>
      <vt:lpstr>Peer Comparison</vt:lpstr>
      <vt:lpstr>IFRS vs GAAP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4</cp:revision>
  <dcterms:created xsi:type="dcterms:W3CDTF">2026-02-02T20:46:19Z</dcterms:created>
  <dcterms:modified xsi:type="dcterms:W3CDTF">2026-02-05T15:29:15Z</dcterms:modified>
  <dc:language>en-US</dc:language>
</cp:coreProperties>
</file>